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nt Roll" sheetId="1" r:id="rId4"/>
    <sheet name="Report Parameters" sheetId="2" r:id="rId5"/>
  </sheets>
  <definedNames>
    <definedName name="_xlnm.Print_Area" localSheetId="1">'Report Parameters'!$A$1:$B$26</definedName>
  </definedNames>
  <calcPr calcId="999999" calcMode="auto" calcCompleted="1" fullCalcOnLoad="0" forceFullCalc="0"/>
</workbook>
</file>

<file path=xl/sharedStrings.xml><?xml version="1.0" encoding="utf-8"?>
<sst xmlns="http://schemas.openxmlformats.org/spreadsheetml/2006/main" uniqueCount="240">
  <si>
    <t>Rent Roll w/ Lease Charges</t>
  </si>
  <si>
    <t>The Lower Burnside Lofts</t>
  </si>
  <si>
    <t>Apr 2026</t>
  </si>
  <si>
    <t>Unit Details</t>
  </si>
  <si>
    <t>Bldg-Unit</t>
  </si>
  <si>
    <t>Unit Type</t>
  </si>
  <si>
    <t>SQFT</t>
  </si>
  <si>
    <t>Unit Status</t>
  </si>
  <si>
    <t>Resident</t>
  </si>
  <si>
    <t>Move-In</t>
  </si>
  <si>
    <t>Lease Start</t>
  </si>
  <si>
    <t>Lease End</t>
  </si>
  <si>
    <t>Expected Move-Out</t>
  </si>
  <si>
    <t>Market Rent</t>
  </si>
  <si>
    <t>Ledger</t>
  </si>
  <si>
    <t>Charge Code</t>
  </si>
  <si>
    <t>Scheduled Charges</t>
  </si>
  <si>
    <t>Balance</t>
  </si>
  <si>
    <t>Deposit Held</t>
  </si>
  <si>
    <t>102</t>
  </si>
  <si>
    <t>LBLEFF4</t>
  </si>
  <si>
    <t>Notice Unrented</t>
  </si>
  <si>
    <t>Schmidt, Austin</t>
  </si>
  <si>
    <t>Residential Rent</t>
  </si>
  <si>
    <t>Charge Total:</t>
  </si>
  <si>
    <t>201</t>
  </si>
  <si>
    <t>LBLA12</t>
  </si>
  <si>
    <t>Occupied No Notice</t>
  </si>
  <si>
    <t>Baer, R Cooper</t>
  </si>
  <si>
    <t>202</t>
  </si>
  <si>
    <t>LBLA7</t>
  </si>
  <si>
    <t>Griswold, Gavin</t>
  </si>
  <si>
    <t>203</t>
  </si>
  <si>
    <t>LBLA1</t>
  </si>
  <si>
    <t>Rasmuson, Jack</t>
  </si>
  <si>
    <t>204</t>
  </si>
  <si>
    <t>LBLA6</t>
  </si>
  <si>
    <t>Milhauser, Nick</t>
  </si>
  <si>
    <t>Parking/Garage Rent</t>
  </si>
  <si>
    <t>205</t>
  </si>
  <si>
    <t>LBLA3</t>
  </si>
  <si>
    <t>Mcgillvray, Donald</t>
  </si>
  <si>
    <t>206</t>
  </si>
  <si>
    <t>LBLA2</t>
  </si>
  <si>
    <t>Shao, Amber</t>
  </si>
  <si>
    <t>207</t>
  </si>
  <si>
    <t>LBLB4</t>
  </si>
  <si>
    <t>Lubbehusen, Morgan</t>
  </si>
  <si>
    <t>208</t>
  </si>
  <si>
    <t>LBLA9</t>
  </si>
  <si>
    <t>Strand, Kristopher</t>
  </si>
  <si>
    <t>Pet Rent - Monthly</t>
  </si>
  <si>
    <t>209</t>
  </si>
  <si>
    <t>LBLA10</t>
  </si>
  <si>
    <t>Lynch, Kaitlyn</t>
  </si>
  <si>
    <t>210</t>
  </si>
  <si>
    <t>LBLA11</t>
  </si>
  <si>
    <t>Kirkland, Camry</t>
  </si>
  <si>
    <t>211</t>
  </si>
  <si>
    <t>LBLEFF3</t>
  </si>
  <si>
    <t>Graff, Courtnie</t>
  </si>
  <si>
    <t>212</t>
  </si>
  <si>
    <t>LBLEFF1</t>
  </si>
  <si>
    <t>Doherty, Kaitlyn</t>
  </si>
  <si>
    <t>213</t>
  </si>
  <si>
    <t>LBLERR2</t>
  </si>
  <si>
    <t>Dancel, Justin</t>
  </si>
  <si>
    <t>301</t>
  </si>
  <si>
    <t>Hammack, Scott</t>
  </si>
  <si>
    <t>302</t>
  </si>
  <si>
    <t>Dominguez, Judith</t>
  </si>
  <si>
    <t>303</t>
  </si>
  <si>
    <t>LBLA5</t>
  </si>
  <si>
    <t>Rasmuson, Kate</t>
  </si>
  <si>
    <t>304</t>
  </si>
  <si>
    <t>Beazer, Zeth</t>
  </si>
  <si>
    <t>305</t>
  </si>
  <si>
    <t>Jibicha, Feyisa</t>
  </si>
  <si>
    <t>306</t>
  </si>
  <si>
    <t>Piesner, Jacob</t>
  </si>
  <si>
    <t>308</t>
  </si>
  <si>
    <t>LBLA8</t>
  </si>
  <si>
    <t>Welch, Anthony</t>
  </si>
  <si>
    <t>309</t>
  </si>
  <si>
    <t>Miller, Thomas</t>
  </si>
  <si>
    <t>310</t>
  </si>
  <si>
    <t>Rihm, Emily</t>
  </si>
  <si>
    <t>311</t>
  </si>
  <si>
    <t>Claxton-Garcia, Jhonnattan</t>
  </si>
  <si>
    <t>312</t>
  </si>
  <si>
    <t>Rauen, Kurt</t>
  </si>
  <si>
    <t>313</t>
  </si>
  <si>
    <t>Sweeney, Matthew</t>
  </si>
  <si>
    <t>401</t>
  </si>
  <si>
    <t>Harris, Bradford</t>
  </si>
  <si>
    <t>402</t>
  </si>
  <si>
    <t>Miller, Jared</t>
  </si>
  <si>
    <t>403</t>
  </si>
  <si>
    <t>Valdez, Jose</t>
  </si>
  <si>
    <t>404</t>
  </si>
  <si>
    <t>Crumbliss-Santiago, Quentin</t>
  </si>
  <si>
    <t>405</t>
  </si>
  <si>
    <t>Rico, Christian</t>
  </si>
  <si>
    <t>406</t>
  </si>
  <si>
    <t>Hopper, John</t>
  </si>
  <si>
    <t>408</t>
  </si>
  <si>
    <t>Abbasi, Omar</t>
  </si>
  <si>
    <t>409</t>
  </si>
  <si>
    <t>Nicoll, Gabrielle</t>
  </si>
  <si>
    <t>410</t>
  </si>
  <si>
    <t>Miloscia, Michael</t>
  </si>
  <si>
    <t>411</t>
  </si>
  <si>
    <t>Pope, Ted</t>
  </si>
  <si>
    <t>412</t>
  </si>
  <si>
    <t>Lipscomb, Aston</t>
  </si>
  <si>
    <t>413</t>
  </si>
  <si>
    <t>Piersall, Autumn</t>
  </si>
  <si>
    <t>501</t>
  </si>
  <si>
    <t>Coen, Joshua</t>
  </si>
  <si>
    <t>502</t>
  </si>
  <si>
    <t>Hoke, Willis</t>
  </si>
  <si>
    <t>503</t>
  </si>
  <si>
    <t>Escobedo, Hugo</t>
  </si>
  <si>
    <t>504</t>
  </si>
  <si>
    <t>Robbins, Roxy</t>
  </si>
  <si>
    <t>505</t>
  </si>
  <si>
    <t>Cortez, Esteban</t>
  </si>
  <si>
    <t>506</t>
  </si>
  <si>
    <t>Notice Rented</t>
  </si>
  <si>
    <t>Perez, Emanuel</t>
  </si>
  <si>
    <t>507</t>
  </si>
  <si>
    <t>Westphal, Theresa</t>
  </si>
  <si>
    <t>508</t>
  </si>
  <si>
    <t>Vacant Unrented Not Ready</t>
  </si>
  <si>
    <t>-- Vacant --</t>
  </si>
  <si>
    <t>-</t>
  </si>
  <si>
    <t>509</t>
  </si>
  <si>
    <t>Nguyen, Bang</t>
  </si>
  <si>
    <t>510</t>
  </si>
  <si>
    <t>Simon, Lena</t>
  </si>
  <si>
    <t>511</t>
  </si>
  <si>
    <t>Goblirsch, Kade</t>
  </si>
  <si>
    <t>512</t>
  </si>
  <si>
    <t>Aguiar, Ashley</t>
  </si>
  <si>
    <t>513</t>
  </si>
  <si>
    <t>Masson, Ryan</t>
  </si>
  <si>
    <t>601</t>
  </si>
  <si>
    <t>LBLA13</t>
  </si>
  <si>
    <t>Evans, Travis</t>
  </si>
  <si>
    <t>602</t>
  </si>
  <si>
    <t>Werth, Jonathan</t>
  </si>
  <si>
    <t>603</t>
  </si>
  <si>
    <t>LBLA4</t>
  </si>
  <si>
    <t>Tymofiienko, Valentyn</t>
  </si>
  <si>
    <t>604</t>
  </si>
  <si>
    <t>Konopacki, Steven</t>
  </si>
  <si>
    <t>605</t>
  </si>
  <si>
    <t>Broman, Lisa</t>
  </si>
  <si>
    <t>606</t>
  </si>
  <si>
    <t>LBLB3</t>
  </si>
  <si>
    <t>Damas, Bryce</t>
  </si>
  <si>
    <t>607</t>
  </si>
  <si>
    <t>LBLB5</t>
  </si>
  <si>
    <t>Nothnagel, Troy</t>
  </si>
  <si>
    <t>608</t>
  </si>
  <si>
    <t>LBLB2</t>
  </si>
  <si>
    <t>Vacant Unrented Ready</t>
  </si>
  <si>
    <t>609</t>
  </si>
  <si>
    <t>Blackmon, Deborah</t>
  </si>
  <si>
    <t>610</t>
  </si>
  <si>
    <t>LBLB1</t>
  </si>
  <si>
    <t xml:space="preserve"> Total:</t>
  </si>
  <si>
    <t>Status Summary</t>
  </si>
  <si>
    <t>Description</t>
  </si>
  <si>
    <t>Unit Count</t>
  </si>
  <si>
    <t>Percent</t>
  </si>
  <si>
    <t>Status Summary: Scheduled Rent</t>
  </si>
  <si>
    <t>Status Summary: Scheduled Other</t>
  </si>
  <si>
    <t>Status Summary: 0</t>
  </si>
  <si>
    <t>Status Summary: 1</t>
  </si>
  <si>
    <t>Status Summary: 2</t>
  </si>
  <si>
    <t>Status Summary: 3</t>
  </si>
  <si>
    <t>Status Summary: 4</t>
  </si>
  <si>
    <t>Status Summary: 5</t>
  </si>
  <si>
    <t>Status Summary: 7</t>
  </si>
  <si>
    <t>Status Summary: 9</t>
  </si>
  <si>
    <t>Status Summary: 11</t>
  </si>
  <si>
    <t>Status Summary: 22</t>
  </si>
  <si>
    <t>Total Rentable Units|Total Occupied Units</t>
  </si>
  <si>
    <t>Total Occupied Units</t>
  </si>
  <si>
    <t>Total Rentable Units|Total Vacant Units</t>
  </si>
  <si>
    <t>Total Vacant Units</t>
  </si>
  <si>
    <t>Total Rentable Units</t>
  </si>
  <si>
    <t>Charge Code Summary</t>
  </si>
  <si>
    <t>Scheduled</t>
  </si>
  <si>
    <t>Charge Code Type</t>
  </si>
  <si>
    <t>Ledger: Resident</t>
  </si>
  <si>
    <t>Other Income</t>
  </si>
  <si>
    <t>Rent</t>
  </si>
  <si>
    <t>Resident Total:</t>
  </si>
  <si>
    <t>Total:</t>
  </si>
  <si>
    <t>Future Resident Details</t>
  </si>
  <si>
    <t>Actual Charges</t>
  </si>
  <si>
    <t>Selected report filters returned no data</t>
  </si>
  <si>
    <t>Rent Roll</t>
  </si>
  <si>
    <t>Report Parameters</t>
  </si>
  <si>
    <t>Report Name</t>
  </si>
  <si>
    <t>Version</t>
  </si>
  <si>
    <t>Property Groups</t>
  </si>
  <si>
    <t>Period</t>
  </si>
  <si>
    <t>Current Post Month</t>
  </si>
  <si>
    <t>Charge Codes</t>
  </si>
  <si>
    <t>CAM/NNN Recovery - Estimated, Lease Non-Compliance Fee, Homebody Master Policy, Homebody Guaranty, Vending Machine Income, Sewer Capacity Charge, Commercial Rent, CAM/NNN Recovery - Reconciled, Electricity Charge, Natural Gas Charge, Trash reimbursement, Utility Admin fee, Water/Sewer Charge, Parking/Garage Rent, Pet Rent - Monthly, Storage Rent, Pet Deposit, Month to Month Premium, Equipment Rental, Air Conditioning Rental, Corporate Housing Rent, Insurance Loss, Conference Room Income, Tepehone Expense, Commercial Maint/Janitorial Reimbursement, Liability Insurance, Internet Connection Fee, Policy Violation, Holding Deposit, Security Deposit Waived, Parking Rent From Vendor, A/R - Rent deferral, Cable Income, Rent Reporting, Deposit alternative, Amenity, Non-Refundable Cleaning Fee, Activities fee, App fee credit, Anchor tenant rent, Anchor tenant CAM, Application Fee, Lease Break Fee, Commercial Rent Abatement, Concession, EV charging station income, Deposit Forfeiture, Guest Suite Rent, HOA Dues, Holdover Fee, Liability Only Renter's Insur, Interest Income, Land Lease Payment, Late Fee, Laundry Fee, Legal Fee, License fee, Last Month Rent, Lockout Charge, Advertising Fund, Miscellaneous Fee, Insurance Non-compliance Fee, Non-refundable Fee, Note receivable, NSF Fee, On-call rent credit, Overhead, Owner's rent abatement, Pass Through charge, Percentage Rent, Pet fee, Parking Concession, Referral bonus, Key Replacement, Employee rent credit- Maint., Employee Rent credit- On site, MFTE Renter insurance, Repair/Maintenance Charge, Tenant retention, Renewal Concession, Short term premium, TI loan repayment, Transfer Balance, Transfer Fee, CAM/NNN Abatement, Bad Debt Recovery, Bad Debt Write-off, Payment, Beginning Balance, Beginning Deposit Held, Refund Payable, Equity Draw Request, Investor Loan Request, Management Fees, Reimbursement Requests, Inter-Company Loan, Utility Allowance, Repayment Agreement, HUDWRITEOFF, Homebody Deposit Alternative, Content Coverage, Other Utility Charge, Security Deposit, Other receipt, Food Court fee, Sales Tax, Damages, Deferred Revenue, Employee Rent Discount, Residential Rent, Beginning Deposit Adjustment, Guest Parking Rent, Bike Storage Rent, Capital Expense, Electricity charge back</t>
  </si>
  <si>
    <t>Group By</t>
  </si>
  <si>
    <t>Do Not Group</t>
  </si>
  <si>
    <t>Summarize By</t>
  </si>
  <si>
    <t>Do Not Summarize</t>
  </si>
  <si>
    <t>Expand By</t>
  </si>
  <si>
    <t>Resident Friendly View</t>
  </si>
  <si>
    <t>Hide</t>
  </si>
  <si>
    <t>Vacant Unrented Ready, Vacant Unrented Not Ready, Notice Unrented, Notice Rented, Occupied No Notice</t>
  </si>
  <si>
    <t>Consider Proration for Scheduled Charges</t>
  </si>
  <si>
    <t>Summarize Units</t>
  </si>
  <si>
    <t>No</t>
  </si>
  <si>
    <t>Future Resident Details Includes</t>
  </si>
  <si>
    <t>Future Residents</t>
  </si>
  <si>
    <t>Lease Occupancy Types</t>
  </si>
  <si>
    <t>All Lease Occupancy Types</t>
  </si>
  <si>
    <t>Other Income Details</t>
  </si>
  <si>
    <t>Consolidate By</t>
  </si>
  <si>
    <t>All Properties</t>
  </si>
  <si>
    <t>Arrange By Property</t>
  </si>
  <si>
    <t>Subtotals</t>
  </si>
  <si>
    <t>Future Residents Not Assigned a Unit</t>
  </si>
  <si>
    <t>Show</t>
  </si>
  <si>
    <t>Enable Drill-ins</t>
  </si>
  <si>
    <t>Yes</t>
  </si>
  <si>
    <t>Rent Roll 4.2 generated</t>
  </si>
  <si>
    <t>04/30/2026 10:40 PM PDT</t>
  </si>
  <si>
    <t xml:space="preserve"> data as of</t>
  </si>
</sst>
</file>

<file path=xl/styles.xml><?xml version="1.0" encoding="utf-8"?>
<styleSheet xmlns="http://schemas.openxmlformats.org/spreadsheetml/2006/main" xml:space="preserve">
  <numFmts count="2">
    <numFmt numFmtId="164" formatCode="#,##0.00;[Red]#,##0.00"/>
    <numFmt numFmtId="165" formatCode="#,##0.00;(#,##0.00)"/>
  </numFmts>
  <fonts count="6">
    <font>
      <b val="0"/>
      <i val="0"/>
      <strike val="0"/>
      <u val="none"/>
      <sz val="11"/>
      <color rgb="FF000000"/>
      <name val="Calibri"/>
    </font>
    <font>
      <b val="1"/>
      <i val="0"/>
      <strike val="0"/>
      <u val="none"/>
      <sz val="12"/>
      <color rgb="FF000000"/>
      <name val="Arial"/>
    </font>
    <font>
      <b val="0"/>
      <i val="0"/>
      <strike val="0"/>
      <u val="none"/>
      <sz val="10"/>
      <color rgb="FF000000"/>
      <name val="Arial"/>
    </font>
    <font>
      <b val="1"/>
      <i val="0"/>
      <strike val="0"/>
      <u val="none"/>
      <sz val="10"/>
      <color rgb="FF000000"/>
      <name val="Arial"/>
    </font>
    <font>
      <b val="1"/>
      <i val="0"/>
      <strike val="0"/>
      <u val="none"/>
      <sz val="12"/>
      <color rgb="FF000000"/>
      <name val="sans-serif"/>
    </font>
    <font>
      <b val="1"/>
      <i val="0"/>
      <strike val="0"/>
      <u val="none"/>
      <sz val="10"/>
      <color rgb="FF000000"/>
      <name val="sans-serif"/>
    </font>
  </fonts>
  <fills count="3">
    <fill>
      <patternFill patternType="none"/>
    </fill>
    <fill>
      <patternFill patternType="gray125"/>
    </fill>
    <fill>
      <patternFill patternType="solid">
        <fgColor rgb="FFC0C0C0"/>
        <bgColor rgb="FF000000"/>
      </patternFill>
    </fill>
  </fills>
  <borders count="3">
    <border>
      <left/>
      <right/>
      <top/>
      <bottom/>
      <diagonal/>
    </border>
    <border>
      <left/>
      <right/>
      <top style="thin">
        <color rgb="FF000000"/>
      </top>
      <bottom style="double">
        <color rgb="FF000000"/>
      </bottom>
      <diagonal/>
    </border>
    <border>
      <left/>
      <right/>
      <top style="thin">
        <color rgb="FF000000"/>
      </top>
      <bottom/>
      <diagonal/>
    </border>
  </borders>
  <cellStyleXfs count="1">
    <xf numFmtId="0" fontId="0" fillId="0" borderId="0"/>
  </cellStyleXfs>
  <cellXfs count="29">
    <xf xfId="0" fontId="0" numFmtId="0" fillId="0" borderId="0" applyFont="0" applyNumberFormat="0" applyFill="0" applyBorder="0" applyAlignment="0"/>
    <xf xfId="0" fontId="1" numFmtId="49" fillId="0" borderId="0" applyFont="1" applyNumberFormat="1" applyFill="0" applyBorder="0" applyAlignment="1">
      <alignment horizontal="center" vertical="center" textRotation="0" wrapText="false" shrinkToFit="false"/>
    </xf>
    <xf xfId="0" fontId="2" numFmtId="49" fillId="0" borderId="0" applyFont="1" applyNumberFormat="1" applyFill="0" applyBorder="0" applyAlignment="1">
      <alignment horizontal="center" vertical="center" textRotation="0" wrapText="false" shrinkToFit="false"/>
    </xf>
    <xf xfId="0" fontId="1" numFmtId="49" fillId="0" borderId="0" applyFont="1" applyNumberFormat="1" applyFill="0" applyBorder="0" applyAlignment="1">
      <alignment horizontal="left" vertical="center" textRotation="0" wrapText="false" shrinkToFit="false"/>
    </xf>
    <xf xfId="0" fontId="3" numFmtId="49" fillId="2" borderId="0" applyFont="1" applyNumberFormat="1" applyFill="1" applyBorder="0" applyAlignment="1">
      <alignment horizontal="left" vertical="center" textRotation="0" wrapText="true" shrinkToFit="false"/>
    </xf>
    <xf xfId="0" fontId="3" numFmtId="164" fillId="2" borderId="0" applyFont="1" applyNumberFormat="1" applyFill="1" applyBorder="0" applyAlignment="1">
      <alignment horizontal="right" vertical="center" textRotation="0" wrapText="true" shrinkToFit="false"/>
    </xf>
    <xf xfId="0" fontId="3" numFmtId="14" fillId="2" borderId="0" applyFont="1" applyNumberFormat="1" applyFill="1" applyBorder="0" applyAlignment="1">
      <alignment vertical="center" textRotation="0" wrapText="true" shrinkToFit="false"/>
    </xf>
    <xf xfId="0" fontId="3" numFmtId="165" fillId="2" borderId="0" applyFont="1" applyNumberFormat="1" applyFill="1" applyBorder="0" applyAlignment="1">
      <alignment horizontal="right" vertical="center" textRotation="0" wrapText="true" shrinkToFit="false"/>
    </xf>
    <xf xfId="0" fontId="2" numFmtId="49" fillId="0" borderId="0" applyFont="1" applyNumberFormat="1" applyFill="0" applyBorder="0" applyAlignment="1">
      <alignment horizontal="left" vertical="center" textRotation="0" wrapText="false" shrinkToFit="false"/>
    </xf>
    <xf xfId="0" fontId="2" numFmtId="14" fillId="0" borderId="0" applyFont="1" applyNumberFormat="1" applyFill="0" applyBorder="0" applyAlignment="1">
      <alignment horizontal="left" vertical="center" textRotation="0" wrapText="false" shrinkToFit="false"/>
    </xf>
    <xf xfId="0" fontId="3" numFmtId="49" fillId="0" borderId="0" applyFont="1" applyNumberFormat="1" applyFill="0" applyBorder="0" applyAlignment="1">
      <alignment horizontal="right" vertical="center" textRotation="0" wrapText="false" shrinkToFit="false"/>
    </xf>
    <xf xfId="0" fontId="3" numFmtId="165" fillId="0" borderId="1" applyFont="1" applyNumberFormat="1" applyFill="0" applyBorder="1" applyAlignment="1">
      <alignment horizontal="right" vertical="center" textRotation="0" wrapText="false" shrinkToFit="false"/>
    </xf>
    <xf xfId="0" fontId="3" numFmtId="164" fillId="0" borderId="1" applyFont="1" applyNumberFormat="1" applyFill="0" applyBorder="1" applyAlignment="1">
      <alignment horizontal="right" vertical="center" textRotation="0" wrapText="false" shrinkToFit="false"/>
    </xf>
    <xf xfId="0" fontId="2" numFmtId="164" fillId="0" borderId="0" applyFont="1" applyNumberFormat="1" applyFill="0" applyBorder="0" applyAlignment="1">
      <alignment horizontal="right" vertical="center" textRotation="0" wrapText="false" shrinkToFit="false"/>
    </xf>
    <xf xfId="0" fontId="2" numFmtId="165" fillId="0" borderId="0" applyFont="1" applyNumberFormat="1" applyFill="0" applyBorder="0" applyAlignment="1">
      <alignment horizontal="right" vertical="center" textRotation="0" wrapText="false" shrinkToFit="false"/>
    </xf>
    <xf xfId="0" fontId="3" numFmtId="49" fillId="0" borderId="0" applyFont="1" applyNumberFormat="1" applyFill="0" applyBorder="0" applyAlignment="1">
      <alignment horizontal="left" vertical="center" textRotation="0" wrapText="false" shrinkToFit="false"/>
    </xf>
    <xf xfId="0" fontId="3" numFmtId="10" fillId="2" borderId="0" applyFont="1" applyNumberFormat="1" applyFill="1" applyBorder="0" applyAlignment="1">
      <alignment horizontal="right" vertical="center" textRotation="0" wrapText="true" shrinkToFit="false"/>
    </xf>
    <xf xfId="0" fontId="3" numFmtId="165" fillId="2" borderId="0" applyFont="1" applyNumberFormat="1" applyFill="1" applyBorder="0" applyAlignment="1">
      <alignment horizontal="right" vertical="center" textRotation="0" wrapText="false" shrinkToFit="false"/>
    </xf>
    <xf xfId="0" fontId="3" numFmtId="164" fillId="2" borderId="0" applyFont="1" applyNumberFormat="1" applyFill="1" applyBorder="0" applyAlignment="1">
      <alignment horizontal="right" vertical="center" textRotation="0" wrapText="false" shrinkToFit="false"/>
    </xf>
    <xf xfId="0" fontId="3" numFmtId="49" fillId="2" borderId="0" applyFont="1" applyNumberFormat="1" applyFill="1" applyBorder="0" applyAlignment="1">
      <alignment horizontal="left" vertical="center" textRotation="0" wrapText="false" shrinkToFit="false"/>
    </xf>
    <xf xfId="0" fontId="2" numFmtId="49" fillId="0" borderId="0" applyFont="1" applyNumberFormat="1" applyFill="0" applyBorder="0" applyAlignment="1">
      <alignment horizontal="left" vertical="center" textRotation="0" wrapText="false" shrinkToFit="false" indent="2"/>
    </xf>
    <xf xfId="0" fontId="3" numFmtId="164" fillId="0" borderId="2" applyFont="1" applyNumberFormat="1" applyFill="0" applyBorder="1" applyAlignment="1">
      <alignment horizontal="right" vertical="center" textRotation="0" wrapText="false" shrinkToFit="false"/>
    </xf>
    <xf xfId="0" fontId="3" numFmtId="10" fillId="0" borderId="2" applyFont="1" applyNumberFormat="1" applyFill="0" applyBorder="1" applyAlignment="1">
      <alignment horizontal="right" vertical="center" textRotation="0" wrapText="false" shrinkToFit="false"/>
    </xf>
    <xf xfId="0" fontId="3" numFmtId="165" fillId="0" borderId="2" applyFont="1" applyNumberFormat="1" applyFill="0" applyBorder="1" applyAlignment="1">
      <alignment horizontal="right" vertical="center" textRotation="0" wrapText="false" shrinkToFit="false"/>
    </xf>
    <xf xfId="0" fontId="3" numFmtId="10" fillId="0" borderId="1" applyFont="1" applyNumberFormat="1" applyFill="0" applyBorder="1" applyAlignment="1">
      <alignment horizontal="right" vertical="center" textRotation="0" wrapText="false" shrinkToFit="false"/>
    </xf>
    <xf xfId="0" fontId="2" numFmtId="10" fillId="0" borderId="0" applyFont="1" applyNumberFormat="1" applyFill="0" applyBorder="0" applyAlignment="1">
      <alignment horizontal="right" vertical="center" textRotation="0" wrapText="false" shrinkToFit="false"/>
    </xf>
    <xf xfId="0" fontId="4" numFmtId="0" fillId="0" borderId="0" applyFont="1" applyNumberFormat="0" applyFill="0" applyBorder="0" applyAlignment="1">
      <alignment horizontal="left" vertical="bottom" textRotation="0" wrapText="false" shrinkToFit="false"/>
    </xf>
    <xf xfId="0" fontId="5" numFmtId="0" fillId="0" borderId="0" applyFont="1" applyNumberFormat="0" applyFill="0" applyBorder="0" applyAlignment="1">
      <alignment horizontal="right" vertical="top" textRotation="0" wrapText="false" shrinkToFit="false"/>
    </xf>
    <xf xfId="0" fontId="0" numFmtId="0" fillId="0" borderId="0" applyFont="0"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V168"/>
  <sheetViews>
    <sheetView tabSelected="1" workbookViewId="0" showGridLines="true" showRowColHeaders="1">
      <selection activeCell="A168" sqref="A168"/>
    </sheetView>
  </sheetViews>
  <sheetFormatPr defaultRowHeight="14.4" outlineLevelRow="0" outlineLevelCol="0"/>
  <cols>
    <col min="1" max="1" width="13.571428571429" customWidth="true" style="0"/>
    <col min="2" max="2" width="13.571428571429" customWidth="true" style="0"/>
    <col min="3" max="3" width="10.714285714286" customWidth="true" style="0"/>
    <col min="4" max="4" width="10.714285714286" customWidth="true" style="0"/>
    <col min="5" max="5" width="13.571428571429" customWidth="true" style="0"/>
    <col min="6" max="6" width="10.714285714286" customWidth="true" style="0"/>
    <col min="7" max="7" width="10.714285714286" customWidth="true" style="0"/>
    <col min="8" max="8" width="10.714285714286" customWidth="true" style="0"/>
    <col min="9" max="9" width="10.714285714286" customWidth="true" style="0"/>
    <col min="10" max="10" width="10.714285714286" customWidth="true" style="0"/>
    <col min="11" max="11" width="10.714285714286" customWidth="true" style="0"/>
    <col min="12" max="12" width="10.714285714286" customWidth="true" style="0"/>
    <col min="13" max="13" width="10.714285714286" customWidth="true" style="0"/>
    <col min="14" max="14" width="10.714285714286" customWidth="true" style="0"/>
    <col min="15" max="15" width="10.714285714286" customWidth="true" style="0"/>
    <col min="17" max="17" width="10.714285714286" hidden="true" customWidth="true" style="0"/>
    <col min="18" max="18" width="10.714285714286" hidden="true" customWidth="true" style="0"/>
    <col min="19" max="19" width="17.428571428571" hidden="true" customWidth="true" style="0"/>
    <col min="20" max="20" width="49.2" hidden="true" customWidth="true" style="0"/>
    <col min="21" max="21" width="30" hidden="true" customWidth="true" style="0"/>
    <col min="22" max="22" width="17.428571428571" hidden="true" customWidth="true" style="0"/>
    <col min="23" max="23" width="17.428571428571" hidden="true" customWidth="true" style="0"/>
    <col min="24" max="24" width="17.428571428571" hidden="true" customWidth="true" style="0"/>
    <col min="25" max="25" width="17.428571428571" hidden="true" customWidth="true" style="0"/>
    <col min="26" max="26" width="17.428571428571" hidden="true" customWidth="true" style="0"/>
    <col min="27" max="27" width="17.428571428571" hidden="true" customWidth="true" style="0"/>
    <col min="28" max="28" width="17.428571428571" hidden="true" customWidth="true" style="0"/>
    <col min="29" max="29" width="9.10" hidden="true" style="0"/>
    <col min="30" max="30" width="9.10" hidden="true" style="0"/>
    <col min="31" max="31" width="9.10" hidden="true" style="0"/>
    <col min="32" max="32" width="9.10" hidden="true" style="0"/>
    <col min="33" max="33" width="9.10" hidden="true" style="0"/>
    <col min="34" max="34" width="9.10" hidden="true" style="0"/>
    <col min="36" max="36" width="9.10" hidden="true" style="0"/>
    <col min="37" max="37" width="9.10" hidden="true" style="0"/>
    <col min="38" max="38" width="9.10" hidden="true" style="0"/>
    <col min="39" max="39" width="9.10" hidden="true" style="0"/>
    <col min="40" max="40" width="9.10" hidden="true" style="0"/>
    <col min="41" max="41" width="9.10" hidden="true" style="0"/>
    <col min="42" max="42" width="9.10" hidden="true" style="0"/>
    <col min="43" max="43" width="9.10" hidden="true" style="0"/>
    <col min="44" max="44" width="9.10" hidden="true" style="0"/>
    <col min="45" max="45" width="9.10" hidden="true" style="0"/>
    <col min="46" max="46" width="9.10" hidden="true" style="0"/>
    <col min="47" max="47" width="9.10" hidden="true" style="0"/>
    <col min="48" max="48" width="9.10" hidden="true" style="0"/>
    <col min="49" max="49" width="9.10" hidden="true" style="0"/>
    <col min="50" max="50" width="9.10" hidden="true" style="0"/>
    <col min="51" max="51" width="9.10" hidden="true" style="0"/>
    <col min="53" max="53" width="9.10" hidden="true" style="0"/>
    <col min="54" max="54" width="9.10" hidden="true" style="0"/>
    <col min="55" max="55" width="9.10" hidden="true" style="0"/>
    <col min="56" max="56" width="9.10" hidden="true" style="0"/>
    <col min="57" max="57" width="9.10" hidden="true" style="0"/>
    <col min="58" max="58" width="9.10" hidden="true" style="0"/>
    <col min="59" max="59" width="9.10" hidden="true" style="0"/>
    <col min="60" max="60" width="9.10" hidden="true" style="0"/>
    <col min="61" max="61" width="9.10" hidden="true" style="0"/>
    <col min="62" max="62" width="9.10" hidden="true" style="0"/>
    <col min="63" max="63" width="9.10" hidden="true" style="0"/>
    <col min="64" max="64" width="9.10" hidden="true" style="0"/>
    <col min="65" max="65" width="9.10" hidden="true" style="0"/>
    <col min="66" max="66" width="9.10" hidden="true" style="0"/>
    <col min="67" max="67" width="9.10" hidden="true" style="0"/>
    <col min="68" max="68" width="9.10" hidden="true" style="0"/>
    <col min="69" max="69" width="9.10" hidden="true" style="0"/>
    <col min="70" max="70" width="9.10" hidden="true" style="0"/>
    <col min="71" max="71" width="9.10" hidden="true" style="0"/>
    <col min="72" max="72" width="9.10" hidden="true" style="0"/>
    <col min="73" max="73" width="9.10" hidden="true" style="0"/>
    <col min="74" max="74" width="9.10" hidden="true" style="0"/>
  </cols>
  <sheetData>
    <row r="2" spans="1:74">
      <c r="A2" s="1" t="s">
        <v>0</v>
      </c>
    </row>
    <row r="3" spans="1:74">
      <c r="A3" s="2" t="s">
        <v>1</v>
      </c>
    </row>
    <row r="4" spans="1:74">
      <c r="A4" s="2" t="s">
        <v>2</v>
      </c>
    </row>
    <row r="6" spans="1:74">
      <c r="A6" s="3" t="s">
        <v>3</v>
      </c>
    </row>
    <row r="7" spans="1:74">
      <c r="A7" s="4" t="s">
        <v>4</v>
      </c>
      <c r="B7" s="4" t="s">
        <v>5</v>
      </c>
      <c r="C7" s="5" t="s">
        <v>6</v>
      </c>
      <c r="D7" s="4" t="s">
        <v>7</v>
      </c>
      <c r="E7" s="4" t="s">
        <v>8</v>
      </c>
      <c r="F7" s="6" t="s">
        <v>9</v>
      </c>
      <c r="G7" s="6" t="s">
        <v>10</v>
      </c>
      <c r="H7" s="6" t="s">
        <v>11</v>
      </c>
      <c r="I7" s="6" t="s">
        <v>12</v>
      </c>
      <c r="J7" s="7" t="s">
        <v>13</v>
      </c>
      <c r="K7" s="4" t="s">
        <v>14</v>
      </c>
      <c r="L7" s="4" t="s">
        <v>15</v>
      </c>
      <c r="M7" s="7" t="s">
        <v>16</v>
      </c>
      <c r="N7" s="7" t="s">
        <v>17</v>
      </c>
      <c r="O7" s="7" t="s">
        <v>18</v>
      </c>
    </row>
    <row r="8" spans="1:74">
      <c r="A8" s="8" t="s">
        <v>19</v>
      </c>
      <c r="B8" s="8" t="s">
        <v>20</v>
      </c>
      <c r="C8" s="13">
        <v>544.0</v>
      </c>
      <c r="D8" s="8" t="s">
        <v>21</v>
      </c>
      <c r="E8" s="8" t="s">
        <v>22</v>
      </c>
      <c r="F8" s="9">
        <v>44428.0</v>
      </c>
      <c r="G8" s="9">
        <v>45920.0</v>
      </c>
      <c r="H8" s="9">
        <v>46150.0</v>
      </c>
      <c r="I8" s="9">
        <v>46150.0</v>
      </c>
      <c r="J8" s="14">
        <v>1625.0</v>
      </c>
      <c r="K8" s="8" t="s">
        <v>8</v>
      </c>
      <c r="L8" s="8" t="s">
        <v>23</v>
      </c>
      <c r="M8" s="14">
        <v>1625.0</v>
      </c>
      <c r="N8" s="14">
        <v>0.0</v>
      </c>
      <c r="O8" s="14">
        <v>99.0</v>
      </c>
    </row>
    <row r="9" spans="1:74">
      <c r="B9" s="8"/>
      <c r="C9" s="13"/>
      <c r="D9" s="8"/>
      <c r="E9" s="8"/>
      <c r="J9" s="14"/>
      <c r="K9" s="15" t="s">
        <v>24</v>
      </c>
      <c r="L9" s="8"/>
      <c r="M9" s="11">
        <f>SUM(M8:M8)</f>
        <v>1625</v>
      </c>
      <c r="N9" s="14"/>
      <c r="O9" s="14"/>
    </row>
    <row r="10" spans="1:74">
      <c r="A10" s="8" t="s">
        <v>25</v>
      </c>
      <c r="B10" s="8" t="s">
        <v>26</v>
      </c>
      <c r="C10" s="13">
        <v>595.0</v>
      </c>
      <c r="D10" s="8" t="s">
        <v>27</v>
      </c>
      <c r="E10" s="8" t="s">
        <v>28</v>
      </c>
      <c r="F10" s="9">
        <v>46106.0</v>
      </c>
      <c r="G10" s="9">
        <v>46106.0</v>
      </c>
      <c r="H10" s="9">
        <v>46477.0</v>
      </c>
      <c r="J10" s="14">
        <v>1399.0</v>
      </c>
      <c r="K10" s="8" t="s">
        <v>8</v>
      </c>
      <c r="L10" s="8" t="s">
        <v>23</v>
      </c>
      <c r="M10" s="14">
        <v>1399.0</v>
      </c>
      <c r="N10" s="14">
        <v>-315.9</v>
      </c>
      <c r="O10" s="14">
        <v>300.0</v>
      </c>
    </row>
    <row r="11" spans="1:74">
      <c r="B11" s="8"/>
      <c r="C11" s="13"/>
      <c r="D11" s="8"/>
      <c r="E11" s="8"/>
      <c r="J11" s="14"/>
      <c r="K11" s="15" t="s">
        <v>24</v>
      </c>
      <c r="L11" s="8"/>
      <c r="M11" s="11">
        <f>SUM(M10:M10)</f>
        <v>1399</v>
      </c>
      <c r="N11" s="14"/>
      <c r="O11" s="14"/>
    </row>
    <row r="12" spans="1:74">
      <c r="A12" s="8" t="s">
        <v>29</v>
      </c>
      <c r="B12" s="8" t="s">
        <v>30</v>
      </c>
      <c r="C12" s="13">
        <v>569.0</v>
      </c>
      <c r="D12" s="8" t="s">
        <v>27</v>
      </c>
      <c r="E12" s="8" t="s">
        <v>31</v>
      </c>
      <c r="F12" s="9">
        <v>45771.0</v>
      </c>
      <c r="G12" s="9">
        <v>45771.0</v>
      </c>
      <c r="H12" s="9">
        <v>46196.0</v>
      </c>
      <c r="J12" s="14">
        <v>1475.0</v>
      </c>
      <c r="K12" s="8" t="s">
        <v>8</v>
      </c>
      <c r="L12" s="8" t="s">
        <v>23</v>
      </c>
      <c r="M12" s="14">
        <v>1421.0</v>
      </c>
      <c r="N12" s="14">
        <v>0.0</v>
      </c>
      <c r="O12" s="14">
        <v>300.0</v>
      </c>
    </row>
    <row r="13" spans="1:74">
      <c r="B13" s="8"/>
      <c r="C13" s="13"/>
      <c r="D13" s="8"/>
      <c r="E13" s="8"/>
      <c r="J13" s="14"/>
      <c r="K13" s="15" t="s">
        <v>24</v>
      </c>
      <c r="L13" s="8"/>
      <c r="M13" s="11">
        <f>SUM(M12:M12)</f>
        <v>1421</v>
      </c>
      <c r="N13" s="14"/>
      <c r="O13" s="14"/>
    </row>
    <row r="14" spans="1:74">
      <c r="A14" s="8" t="s">
        <v>32</v>
      </c>
      <c r="B14" s="8" t="s">
        <v>33</v>
      </c>
      <c r="C14" s="13">
        <v>507.0</v>
      </c>
      <c r="D14" s="8" t="s">
        <v>27</v>
      </c>
      <c r="E14" s="8" t="s">
        <v>34</v>
      </c>
      <c r="F14" s="9">
        <v>46097.0</v>
      </c>
      <c r="G14" s="9">
        <v>46097.0</v>
      </c>
      <c r="H14" s="9">
        <v>46477.0</v>
      </c>
      <c r="J14" s="14">
        <v>1281.0</v>
      </c>
      <c r="K14" s="8" t="s">
        <v>8</v>
      </c>
      <c r="L14" s="8" t="s">
        <v>23</v>
      </c>
      <c r="M14" s="14">
        <v>1281.0</v>
      </c>
      <c r="N14" s="14">
        <v>-500.0</v>
      </c>
      <c r="O14" s="14">
        <v>300.0</v>
      </c>
    </row>
    <row r="15" spans="1:74">
      <c r="B15" s="8"/>
      <c r="C15" s="13"/>
      <c r="D15" s="8"/>
      <c r="E15" s="8"/>
      <c r="J15" s="14"/>
      <c r="K15" s="15" t="s">
        <v>24</v>
      </c>
      <c r="L15" s="8"/>
      <c r="M15" s="11">
        <f>SUM(M14:M14)</f>
        <v>1281</v>
      </c>
      <c r="N15" s="14"/>
      <c r="O15" s="14"/>
    </row>
    <row r="16" spans="1:74">
      <c r="A16" s="8" t="s">
        <v>35</v>
      </c>
      <c r="B16" s="8" t="s">
        <v>36</v>
      </c>
      <c r="C16" s="13">
        <v>566.0</v>
      </c>
      <c r="D16" s="8" t="s">
        <v>27</v>
      </c>
      <c r="E16" s="8" t="s">
        <v>37</v>
      </c>
      <c r="F16" s="9">
        <v>45706.0</v>
      </c>
      <c r="G16" s="9">
        <v>46113.0</v>
      </c>
      <c r="H16" s="9">
        <v>46477.0</v>
      </c>
      <c r="J16" s="14">
        <v>1470.0</v>
      </c>
      <c r="K16" s="8" t="s">
        <v>8</v>
      </c>
      <c r="L16" s="8" t="s">
        <v>23</v>
      </c>
      <c r="M16" s="14">
        <v>1314.0</v>
      </c>
      <c r="N16" s="14">
        <v>0.0</v>
      </c>
      <c r="O16" s="14">
        <v>99.0</v>
      </c>
    </row>
    <row r="17" spans="1:74">
      <c r="B17" s="8"/>
      <c r="C17" s="13"/>
      <c r="D17" s="8"/>
      <c r="E17" s="8"/>
      <c r="J17" s="14"/>
      <c r="K17" s="8"/>
      <c r="L17" s="8" t="s">
        <v>38</v>
      </c>
      <c r="M17" s="14">
        <v>185.0</v>
      </c>
      <c r="N17" s="14"/>
      <c r="O17" s="14"/>
    </row>
    <row r="18" spans="1:74">
      <c r="B18" s="8"/>
      <c r="C18" s="13"/>
      <c r="D18" s="8"/>
      <c r="E18" s="8"/>
      <c r="J18" s="14"/>
      <c r="K18" s="15" t="s">
        <v>24</v>
      </c>
      <c r="L18" s="8"/>
      <c r="M18" s="11">
        <f>SUM(M16:M17)</f>
        <v>1499</v>
      </c>
      <c r="N18" s="14"/>
      <c r="O18" s="14"/>
    </row>
    <row r="19" spans="1:74">
      <c r="A19" s="8" t="s">
        <v>39</v>
      </c>
      <c r="B19" s="8" t="s">
        <v>40</v>
      </c>
      <c r="C19" s="13">
        <v>513.0</v>
      </c>
      <c r="D19" s="8" t="s">
        <v>27</v>
      </c>
      <c r="E19" s="8" t="s">
        <v>41</v>
      </c>
      <c r="F19" s="9">
        <v>45859.0</v>
      </c>
      <c r="G19" s="9">
        <v>45859.0</v>
      </c>
      <c r="H19" s="9">
        <v>46223.0</v>
      </c>
      <c r="J19" s="14">
        <v>1359.0</v>
      </c>
      <c r="K19" s="8" t="s">
        <v>8</v>
      </c>
      <c r="L19" s="8" t="s">
        <v>23</v>
      </c>
      <c r="M19" s="14">
        <v>1264.0</v>
      </c>
      <c r="N19" s="14">
        <v>0.0</v>
      </c>
      <c r="O19" s="14">
        <v>300.0</v>
      </c>
    </row>
    <row r="20" spans="1:74">
      <c r="B20" s="8"/>
      <c r="C20" s="13"/>
      <c r="D20" s="8"/>
      <c r="E20" s="8"/>
      <c r="J20" s="14"/>
      <c r="K20" s="15" t="s">
        <v>24</v>
      </c>
      <c r="L20" s="8"/>
      <c r="M20" s="11">
        <f>SUM(M19:M19)</f>
        <v>1264</v>
      </c>
      <c r="N20" s="14"/>
      <c r="O20" s="14"/>
    </row>
    <row r="21" spans="1:74">
      <c r="A21" s="8" t="s">
        <v>42</v>
      </c>
      <c r="B21" s="8" t="s">
        <v>43</v>
      </c>
      <c r="C21" s="13">
        <v>510.0</v>
      </c>
      <c r="D21" s="8" t="s">
        <v>27</v>
      </c>
      <c r="E21" s="8" t="s">
        <v>44</v>
      </c>
      <c r="F21" s="9">
        <v>45750.0</v>
      </c>
      <c r="G21" s="9">
        <v>45750.0</v>
      </c>
      <c r="H21" s="9">
        <v>46205.0</v>
      </c>
      <c r="J21" s="14">
        <v>1359.0</v>
      </c>
      <c r="K21" s="8" t="s">
        <v>8</v>
      </c>
      <c r="L21" s="8" t="s">
        <v>23</v>
      </c>
      <c r="M21" s="14">
        <v>1247.0</v>
      </c>
      <c r="N21" s="14">
        <v>0.0</v>
      </c>
      <c r="O21" s="14">
        <v>500.0</v>
      </c>
    </row>
    <row r="22" spans="1:74">
      <c r="B22" s="8"/>
      <c r="C22" s="13"/>
      <c r="D22" s="8"/>
      <c r="E22" s="8"/>
      <c r="J22" s="14"/>
      <c r="K22" s="15" t="s">
        <v>24</v>
      </c>
      <c r="L22" s="8"/>
      <c r="M22" s="11">
        <f>SUM(M21:M21)</f>
        <v>1247</v>
      </c>
      <c r="N22" s="14"/>
      <c r="O22" s="14"/>
    </row>
    <row r="23" spans="1:74">
      <c r="A23" s="8" t="s">
        <v>45</v>
      </c>
      <c r="B23" s="8" t="s">
        <v>46</v>
      </c>
      <c r="C23" s="13">
        <v>804.0</v>
      </c>
      <c r="D23" s="8" t="s">
        <v>27</v>
      </c>
      <c r="E23" s="8" t="s">
        <v>47</v>
      </c>
      <c r="F23" s="9">
        <v>45388.0</v>
      </c>
      <c r="G23" s="9">
        <v>45753.0</v>
      </c>
      <c r="H23" s="9">
        <v>46178.0</v>
      </c>
      <c r="J23" s="14">
        <v>2138.0</v>
      </c>
      <c r="K23" s="8" t="s">
        <v>8</v>
      </c>
      <c r="L23" s="8" t="s">
        <v>23</v>
      </c>
      <c r="M23" s="14">
        <v>2149.0</v>
      </c>
      <c r="N23" s="14">
        <v>0.0</v>
      </c>
      <c r="O23" s="14">
        <v>300.0</v>
      </c>
    </row>
    <row r="24" spans="1:74">
      <c r="B24" s="8"/>
      <c r="C24" s="13"/>
      <c r="D24" s="8"/>
      <c r="E24" s="8"/>
      <c r="J24" s="14"/>
      <c r="K24" s="15" t="s">
        <v>24</v>
      </c>
      <c r="L24" s="8"/>
      <c r="M24" s="11">
        <f>SUM(M23:M23)</f>
        <v>2149</v>
      </c>
      <c r="N24" s="14"/>
      <c r="O24" s="14"/>
    </row>
    <row r="25" spans="1:74">
      <c r="A25" s="8" t="s">
        <v>48</v>
      </c>
      <c r="B25" s="8" t="s">
        <v>49</v>
      </c>
      <c r="C25" s="13">
        <v>580.0</v>
      </c>
      <c r="D25" s="8" t="s">
        <v>27</v>
      </c>
      <c r="E25" s="8" t="s">
        <v>50</v>
      </c>
      <c r="F25" s="9">
        <v>45730.0</v>
      </c>
      <c r="G25" s="9">
        <v>46126.0</v>
      </c>
      <c r="H25" s="9">
        <v>46142.0</v>
      </c>
      <c r="J25" s="14">
        <v>1490.0</v>
      </c>
      <c r="K25" s="8" t="s">
        <v>8</v>
      </c>
      <c r="L25" s="8" t="s">
        <v>23</v>
      </c>
      <c r="M25" s="14">
        <v>1336.0</v>
      </c>
      <c r="N25" s="14">
        <v>0.0</v>
      </c>
      <c r="O25" s="14">
        <v>300.0</v>
      </c>
    </row>
    <row r="26" spans="1:74">
      <c r="B26" s="8"/>
      <c r="C26" s="13"/>
      <c r="D26" s="8"/>
      <c r="E26" s="8"/>
      <c r="J26" s="14"/>
      <c r="K26" s="8"/>
      <c r="L26" s="8" t="s">
        <v>51</v>
      </c>
      <c r="M26" s="14">
        <v>40.0</v>
      </c>
      <c r="N26" s="14"/>
      <c r="O26" s="14"/>
    </row>
    <row r="27" spans="1:74">
      <c r="B27" s="8"/>
      <c r="C27" s="13"/>
      <c r="D27" s="8"/>
      <c r="E27" s="8"/>
      <c r="J27" s="14"/>
      <c r="K27" s="15" t="s">
        <v>24</v>
      </c>
      <c r="L27" s="8"/>
      <c r="M27" s="11">
        <f>SUM(M25:M26)</f>
        <v>1376</v>
      </c>
      <c r="N27" s="14"/>
      <c r="O27" s="14"/>
    </row>
    <row r="28" spans="1:74">
      <c r="A28" s="8" t="s">
        <v>52</v>
      </c>
      <c r="B28" s="8" t="s">
        <v>53</v>
      </c>
      <c r="C28" s="13">
        <v>581.0</v>
      </c>
      <c r="D28" s="8" t="s">
        <v>27</v>
      </c>
      <c r="E28" s="8" t="s">
        <v>54</v>
      </c>
      <c r="F28" s="9">
        <v>45925.0</v>
      </c>
      <c r="G28" s="9">
        <v>45925.0</v>
      </c>
      <c r="H28" s="9">
        <v>46289.0</v>
      </c>
      <c r="J28" s="14">
        <v>1441.0</v>
      </c>
      <c r="K28" s="8" t="s">
        <v>8</v>
      </c>
      <c r="L28" s="8" t="s">
        <v>23</v>
      </c>
      <c r="M28" s="14">
        <v>1386.0</v>
      </c>
      <c r="N28" s="14">
        <v>0.0</v>
      </c>
      <c r="O28" s="14">
        <v>300.0</v>
      </c>
    </row>
    <row r="29" spans="1:74">
      <c r="B29" s="8"/>
      <c r="C29" s="13"/>
      <c r="D29" s="8"/>
      <c r="E29" s="8"/>
      <c r="J29" s="14"/>
      <c r="K29" s="15" t="s">
        <v>24</v>
      </c>
      <c r="L29" s="8"/>
      <c r="M29" s="11">
        <f>SUM(M28:M28)</f>
        <v>1386</v>
      </c>
      <c r="N29" s="14"/>
      <c r="O29" s="14"/>
    </row>
    <row r="30" spans="1:74">
      <c r="A30" s="8" t="s">
        <v>55</v>
      </c>
      <c r="B30" s="8" t="s">
        <v>56</v>
      </c>
      <c r="C30" s="13">
        <v>594.0</v>
      </c>
      <c r="D30" s="8" t="s">
        <v>27</v>
      </c>
      <c r="E30" s="8" t="s">
        <v>57</v>
      </c>
      <c r="F30" s="9">
        <v>45902.0</v>
      </c>
      <c r="G30" s="9">
        <v>45902.0</v>
      </c>
      <c r="H30" s="9">
        <v>46296.0</v>
      </c>
      <c r="J30" s="14">
        <v>1505.0</v>
      </c>
      <c r="K30" s="8" t="s">
        <v>8</v>
      </c>
      <c r="L30" s="8" t="s">
        <v>23</v>
      </c>
      <c r="M30" s="14">
        <v>1430.0</v>
      </c>
      <c r="N30" s="14">
        <v>0.0</v>
      </c>
      <c r="O30" s="14">
        <v>800.0</v>
      </c>
    </row>
    <row r="31" spans="1:74">
      <c r="B31" s="8"/>
      <c r="C31" s="13"/>
      <c r="D31" s="8"/>
      <c r="E31" s="8"/>
      <c r="J31" s="14"/>
      <c r="K31" s="8"/>
      <c r="L31" s="8" t="s">
        <v>51</v>
      </c>
      <c r="M31" s="14">
        <v>40.0</v>
      </c>
      <c r="N31" s="14"/>
      <c r="O31" s="14"/>
    </row>
    <row r="32" spans="1:74">
      <c r="B32" s="8"/>
      <c r="C32" s="13"/>
      <c r="D32" s="8"/>
      <c r="E32" s="8"/>
      <c r="J32" s="14"/>
      <c r="K32" s="15" t="s">
        <v>24</v>
      </c>
      <c r="L32" s="8"/>
      <c r="M32" s="11">
        <f>SUM(M30:M31)</f>
        <v>1470</v>
      </c>
      <c r="N32" s="14"/>
      <c r="O32" s="14"/>
    </row>
    <row r="33" spans="1:74">
      <c r="A33" s="8" t="s">
        <v>58</v>
      </c>
      <c r="B33" s="8" t="s">
        <v>59</v>
      </c>
      <c r="C33" s="13">
        <v>462.0</v>
      </c>
      <c r="D33" s="8" t="s">
        <v>27</v>
      </c>
      <c r="E33" s="8" t="s">
        <v>60</v>
      </c>
      <c r="F33" s="9">
        <v>45029.0</v>
      </c>
      <c r="G33" s="9">
        <v>45760.0</v>
      </c>
      <c r="H33" s="9">
        <v>46185.0</v>
      </c>
      <c r="J33" s="14">
        <v>1232.0</v>
      </c>
      <c r="K33" s="8" t="s">
        <v>8</v>
      </c>
      <c r="L33" s="8" t="s">
        <v>23</v>
      </c>
      <c r="M33" s="14">
        <v>1311.0</v>
      </c>
      <c r="N33" s="14">
        <v>-1608.31</v>
      </c>
      <c r="O33" s="14">
        <v>99.0</v>
      </c>
    </row>
    <row r="34" spans="1:74">
      <c r="B34" s="8"/>
      <c r="C34" s="13"/>
      <c r="D34" s="8"/>
      <c r="E34" s="8"/>
      <c r="J34" s="14"/>
      <c r="K34" s="8"/>
      <c r="L34" s="8" t="s">
        <v>38</v>
      </c>
      <c r="M34" s="14">
        <v>185.0</v>
      </c>
      <c r="N34" s="14"/>
      <c r="O34" s="14"/>
    </row>
    <row r="35" spans="1:74">
      <c r="B35" s="8"/>
      <c r="C35" s="13"/>
      <c r="D35" s="8"/>
      <c r="E35" s="8"/>
      <c r="J35" s="14"/>
      <c r="K35" s="15" t="s">
        <v>24</v>
      </c>
      <c r="L35" s="8"/>
      <c r="M35" s="11">
        <f>SUM(M33:M34)</f>
        <v>1496</v>
      </c>
      <c r="N35" s="14"/>
      <c r="O35" s="14"/>
    </row>
    <row r="36" spans="1:74">
      <c r="A36" s="8" t="s">
        <v>61</v>
      </c>
      <c r="B36" s="8" t="s">
        <v>62</v>
      </c>
      <c r="C36" s="13">
        <v>385.0</v>
      </c>
      <c r="D36" s="8" t="s">
        <v>27</v>
      </c>
      <c r="E36" s="8" t="s">
        <v>63</v>
      </c>
      <c r="F36" s="9">
        <v>45843.0</v>
      </c>
      <c r="G36" s="9">
        <v>45843.0</v>
      </c>
      <c r="H36" s="9">
        <v>46299.0</v>
      </c>
      <c r="J36" s="14">
        <v>1180.0</v>
      </c>
      <c r="K36" s="8" t="s">
        <v>8</v>
      </c>
      <c r="L36" s="8" t="s">
        <v>23</v>
      </c>
      <c r="M36" s="14">
        <v>1083.0</v>
      </c>
      <c r="N36" s="14">
        <v>0.0</v>
      </c>
      <c r="O36" s="14">
        <v>500.0</v>
      </c>
    </row>
    <row r="37" spans="1:74">
      <c r="B37" s="8"/>
      <c r="C37" s="13"/>
      <c r="D37" s="8"/>
      <c r="E37" s="8"/>
      <c r="J37" s="14"/>
      <c r="K37" s="15" t="s">
        <v>24</v>
      </c>
      <c r="L37" s="8"/>
      <c r="M37" s="11">
        <f>SUM(M36:M36)</f>
        <v>1083</v>
      </c>
      <c r="N37" s="14"/>
      <c r="O37" s="14"/>
    </row>
    <row r="38" spans="1:74">
      <c r="A38" s="8" t="s">
        <v>64</v>
      </c>
      <c r="B38" s="8" t="s">
        <v>65</v>
      </c>
      <c r="C38" s="13">
        <v>399.0</v>
      </c>
      <c r="D38" s="8" t="s">
        <v>27</v>
      </c>
      <c r="E38" s="8" t="s">
        <v>66</v>
      </c>
      <c r="F38" s="9">
        <v>46056.0</v>
      </c>
      <c r="G38" s="9">
        <v>46056.0</v>
      </c>
      <c r="H38" s="9">
        <v>46446.0</v>
      </c>
      <c r="J38" s="14">
        <v>1206.0</v>
      </c>
      <c r="K38" s="8" t="s">
        <v>8</v>
      </c>
      <c r="L38" s="8" t="s">
        <v>23</v>
      </c>
      <c r="M38" s="14">
        <v>1206.0</v>
      </c>
      <c r="N38" s="14">
        <v>0.0</v>
      </c>
      <c r="O38" s="14">
        <v>300.0</v>
      </c>
    </row>
    <row r="39" spans="1:74">
      <c r="B39" s="8"/>
      <c r="C39" s="13"/>
      <c r="D39" s="8"/>
      <c r="E39" s="8"/>
      <c r="J39" s="14"/>
      <c r="K39" s="15" t="s">
        <v>24</v>
      </c>
      <c r="L39" s="8"/>
      <c r="M39" s="11">
        <f>SUM(M38:M38)</f>
        <v>1206</v>
      </c>
      <c r="N39" s="14"/>
      <c r="O39" s="14"/>
    </row>
    <row r="40" spans="1:74">
      <c r="A40" s="8" t="s">
        <v>67</v>
      </c>
      <c r="B40" s="8" t="s">
        <v>26</v>
      </c>
      <c r="C40" s="13">
        <v>595.0</v>
      </c>
      <c r="D40" s="8" t="s">
        <v>27</v>
      </c>
      <c r="E40" s="8" t="s">
        <v>68</v>
      </c>
      <c r="F40" s="9">
        <v>43808.0</v>
      </c>
      <c r="G40" s="9">
        <v>45725.0</v>
      </c>
      <c r="H40" s="9">
        <v>46173.0</v>
      </c>
      <c r="J40" s="14">
        <v>1446.0</v>
      </c>
      <c r="K40" s="8" t="s">
        <v>8</v>
      </c>
      <c r="L40" s="8" t="s">
        <v>23</v>
      </c>
      <c r="M40" s="14">
        <v>1605.0</v>
      </c>
      <c r="N40" s="14">
        <v>-1818.47</v>
      </c>
      <c r="O40" s="14">
        <v>399.0</v>
      </c>
    </row>
    <row r="41" spans="1:74">
      <c r="B41" s="8"/>
      <c r="C41" s="13"/>
      <c r="D41" s="8"/>
      <c r="E41" s="8"/>
      <c r="J41" s="14"/>
      <c r="K41" s="8"/>
      <c r="L41" s="8" t="s">
        <v>38</v>
      </c>
      <c r="M41" s="14">
        <v>185.0</v>
      </c>
      <c r="N41" s="14"/>
      <c r="O41" s="14"/>
    </row>
    <row r="42" spans="1:74">
      <c r="B42" s="8"/>
      <c r="C42" s="13"/>
      <c r="D42" s="8"/>
      <c r="E42" s="8"/>
      <c r="J42" s="14"/>
      <c r="K42" s="8"/>
      <c r="L42" s="8" t="s">
        <v>51</v>
      </c>
      <c r="M42" s="14">
        <v>40.0</v>
      </c>
      <c r="N42" s="14"/>
      <c r="O42" s="14"/>
    </row>
    <row r="43" spans="1:74">
      <c r="B43" s="8"/>
      <c r="C43" s="13"/>
      <c r="D43" s="8"/>
      <c r="E43" s="8"/>
      <c r="J43" s="14"/>
      <c r="K43" s="15" t="s">
        <v>24</v>
      </c>
      <c r="L43" s="8"/>
      <c r="M43" s="11">
        <f>SUM(M40:M42)</f>
        <v>1830</v>
      </c>
      <c r="N43" s="14"/>
      <c r="O43" s="14"/>
    </row>
    <row r="44" spans="1:74">
      <c r="A44" s="8" t="s">
        <v>69</v>
      </c>
      <c r="B44" s="8" t="s">
        <v>30</v>
      </c>
      <c r="C44" s="13">
        <v>569.0</v>
      </c>
      <c r="D44" s="8" t="s">
        <v>27</v>
      </c>
      <c r="E44" s="8" t="s">
        <v>70</v>
      </c>
      <c r="F44" s="9">
        <v>45940.0</v>
      </c>
      <c r="G44" s="9">
        <v>45940.0</v>
      </c>
      <c r="H44" s="9">
        <v>46396.0</v>
      </c>
      <c r="J44" s="14">
        <v>1440.0</v>
      </c>
      <c r="K44" s="8" t="s">
        <v>8</v>
      </c>
      <c r="L44" s="8" t="s">
        <v>23</v>
      </c>
      <c r="M44" s="14">
        <v>1314.0</v>
      </c>
      <c r="N44" s="14">
        <v>0.0</v>
      </c>
      <c r="O44" s="14">
        <v>600.0</v>
      </c>
    </row>
    <row r="45" spans="1:74">
      <c r="B45" s="8"/>
      <c r="C45" s="13"/>
      <c r="D45" s="8"/>
      <c r="E45" s="8"/>
      <c r="J45" s="14"/>
      <c r="K45" s="8"/>
      <c r="L45" s="8" t="s">
        <v>51</v>
      </c>
      <c r="M45" s="14">
        <v>40.0</v>
      </c>
      <c r="N45" s="14"/>
      <c r="O45" s="14"/>
    </row>
    <row r="46" spans="1:74">
      <c r="B46" s="8"/>
      <c r="C46" s="13"/>
      <c r="D46" s="8"/>
      <c r="E46" s="8"/>
      <c r="J46" s="14"/>
      <c r="K46" s="15" t="s">
        <v>24</v>
      </c>
      <c r="L46" s="8"/>
      <c r="M46" s="11">
        <f>SUM(M44:M45)</f>
        <v>1354</v>
      </c>
      <c r="N46" s="14"/>
      <c r="O46" s="14"/>
    </row>
    <row r="47" spans="1:74">
      <c r="A47" s="8" t="s">
        <v>71</v>
      </c>
      <c r="B47" s="8" t="s">
        <v>72</v>
      </c>
      <c r="C47" s="13">
        <v>551.0</v>
      </c>
      <c r="D47" s="8" t="s">
        <v>27</v>
      </c>
      <c r="E47" s="8" t="s">
        <v>73</v>
      </c>
      <c r="F47" s="9">
        <v>46128.0</v>
      </c>
      <c r="G47" s="9">
        <v>46128.0</v>
      </c>
      <c r="H47" s="9">
        <v>46507.0</v>
      </c>
      <c r="J47" s="14">
        <v>1430.0</v>
      </c>
      <c r="K47" s="8" t="s">
        <v>8</v>
      </c>
      <c r="L47" s="8" t="s">
        <v>23</v>
      </c>
      <c r="M47" s="14">
        <v>1430.0</v>
      </c>
      <c r="N47" s="14">
        <v>-1470.0</v>
      </c>
      <c r="O47" s="14">
        <v>600.0</v>
      </c>
    </row>
    <row r="48" spans="1:74">
      <c r="B48" s="8"/>
      <c r="C48" s="13"/>
      <c r="D48" s="8"/>
      <c r="E48" s="8"/>
      <c r="J48" s="14"/>
      <c r="K48" s="15" t="s">
        <v>24</v>
      </c>
      <c r="L48" s="8"/>
      <c r="M48" s="11">
        <f>SUM(M47:M47)</f>
        <v>1430</v>
      </c>
      <c r="N48" s="14"/>
      <c r="O48" s="14"/>
    </row>
    <row r="49" spans="1:74">
      <c r="A49" s="8" t="s">
        <v>74</v>
      </c>
      <c r="B49" s="8" t="s">
        <v>36</v>
      </c>
      <c r="C49" s="13">
        <v>566.0</v>
      </c>
      <c r="D49" s="8" t="s">
        <v>27</v>
      </c>
      <c r="E49" s="8" t="s">
        <v>75</v>
      </c>
      <c r="F49" s="9">
        <v>45505.0</v>
      </c>
      <c r="G49" s="9">
        <v>45870.0</v>
      </c>
      <c r="H49" s="9">
        <v>46326.0</v>
      </c>
      <c r="J49" s="14">
        <v>1435.0</v>
      </c>
      <c r="K49" s="8" t="s">
        <v>8</v>
      </c>
      <c r="L49" s="8" t="s">
        <v>23</v>
      </c>
      <c r="M49" s="14">
        <v>1450.0</v>
      </c>
      <c r="N49" s="14">
        <v>0.0</v>
      </c>
      <c r="O49" s="14">
        <v>500.0</v>
      </c>
    </row>
    <row r="50" spans="1:74">
      <c r="B50" s="8"/>
      <c r="C50" s="13"/>
      <c r="D50" s="8"/>
      <c r="E50" s="8"/>
      <c r="J50" s="14"/>
      <c r="K50" s="8"/>
      <c r="L50" s="8" t="s">
        <v>38</v>
      </c>
      <c r="M50" s="14">
        <v>185.0</v>
      </c>
      <c r="N50" s="14"/>
      <c r="O50" s="14"/>
    </row>
    <row r="51" spans="1:74">
      <c r="B51" s="8"/>
      <c r="C51" s="13"/>
      <c r="D51" s="8"/>
      <c r="E51" s="8"/>
      <c r="J51" s="14"/>
      <c r="K51" s="15" t="s">
        <v>24</v>
      </c>
      <c r="L51" s="8"/>
      <c r="M51" s="11">
        <f>SUM(M49:M50)</f>
        <v>1635</v>
      </c>
      <c r="N51" s="14"/>
      <c r="O51" s="14"/>
    </row>
    <row r="52" spans="1:74">
      <c r="A52" s="8" t="s">
        <v>76</v>
      </c>
      <c r="B52" s="8" t="s">
        <v>40</v>
      </c>
      <c r="C52" s="13">
        <v>513.0</v>
      </c>
      <c r="D52" s="8" t="s">
        <v>27</v>
      </c>
      <c r="E52" s="8" t="s">
        <v>77</v>
      </c>
      <c r="F52" s="9">
        <v>46080.0</v>
      </c>
      <c r="G52" s="9">
        <v>46080.0</v>
      </c>
      <c r="H52" s="9">
        <v>46446.0</v>
      </c>
      <c r="J52" s="14">
        <v>1349.0</v>
      </c>
      <c r="K52" s="8" t="s">
        <v>8</v>
      </c>
      <c r="L52" s="8" t="s">
        <v>23</v>
      </c>
      <c r="M52" s="14">
        <v>1349.0</v>
      </c>
      <c r="N52" s="14">
        <v>0.0</v>
      </c>
      <c r="O52" s="14">
        <v>300.0</v>
      </c>
    </row>
    <row r="53" spans="1:74">
      <c r="B53" s="8"/>
      <c r="C53" s="13"/>
      <c r="D53" s="8"/>
      <c r="E53" s="8"/>
      <c r="J53" s="14"/>
      <c r="K53" s="15" t="s">
        <v>24</v>
      </c>
      <c r="L53" s="8"/>
      <c r="M53" s="11">
        <f>SUM(M52:M52)</f>
        <v>1349</v>
      </c>
      <c r="N53" s="14"/>
      <c r="O53" s="14"/>
    </row>
    <row r="54" spans="1:74">
      <c r="A54" s="8" t="s">
        <v>78</v>
      </c>
      <c r="B54" s="8" t="s">
        <v>43</v>
      </c>
      <c r="C54" s="13">
        <v>510.0</v>
      </c>
      <c r="D54" s="8" t="s">
        <v>27</v>
      </c>
      <c r="E54" s="8" t="s">
        <v>79</v>
      </c>
      <c r="F54" s="9">
        <v>45078.0</v>
      </c>
      <c r="G54" s="9">
        <v>45840.0</v>
      </c>
      <c r="H54" s="9">
        <v>46235.0</v>
      </c>
      <c r="J54" s="14">
        <v>1399.0</v>
      </c>
      <c r="K54" s="8" t="s">
        <v>8</v>
      </c>
      <c r="L54" s="8" t="s">
        <v>23</v>
      </c>
      <c r="M54" s="14">
        <v>1443.0</v>
      </c>
      <c r="N54" s="14">
        <v>0.0</v>
      </c>
      <c r="O54" s="14">
        <v>600.0</v>
      </c>
    </row>
    <row r="55" spans="1:74">
      <c r="B55" s="8"/>
      <c r="C55" s="13"/>
      <c r="D55" s="8"/>
      <c r="E55" s="8"/>
      <c r="J55" s="14"/>
      <c r="K55" s="8"/>
      <c r="L55" s="8" t="s">
        <v>51</v>
      </c>
      <c r="M55" s="14">
        <v>40.0</v>
      </c>
      <c r="N55" s="14"/>
      <c r="O55" s="14"/>
    </row>
    <row r="56" spans="1:74">
      <c r="B56" s="8"/>
      <c r="C56" s="13"/>
      <c r="D56" s="8"/>
      <c r="E56" s="8"/>
      <c r="J56" s="14"/>
      <c r="K56" s="15" t="s">
        <v>24</v>
      </c>
      <c r="L56" s="8"/>
      <c r="M56" s="11">
        <f>SUM(M54:M55)</f>
        <v>1483</v>
      </c>
      <c r="N56" s="14"/>
      <c r="O56" s="14"/>
    </row>
    <row r="57" spans="1:74">
      <c r="A57" s="8" t="s">
        <v>80</v>
      </c>
      <c r="B57" s="8" t="s">
        <v>81</v>
      </c>
      <c r="C57" s="13">
        <v>578.0</v>
      </c>
      <c r="D57" s="8" t="s">
        <v>21</v>
      </c>
      <c r="E57" s="8" t="s">
        <v>82</v>
      </c>
      <c r="F57" s="9">
        <v>45712.0</v>
      </c>
      <c r="G57" s="9">
        <v>46082.0</v>
      </c>
      <c r="H57" s="9">
        <v>46165.0</v>
      </c>
      <c r="I57" s="9">
        <v>46165.0</v>
      </c>
      <c r="J57" s="14">
        <v>1450.0</v>
      </c>
      <c r="K57" s="8" t="s">
        <v>8</v>
      </c>
      <c r="L57" s="8" t="s">
        <v>23</v>
      </c>
      <c r="M57" s="14">
        <v>1447.0</v>
      </c>
      <c r="N57" s="14">
        <v>0.0</v>
      </c>
      <c r="O57" s="14">
        <v>300.0</v>
      </c>
    </row>
    <row r="58" spans="1:74">
      <c r="B58" s="8"/>
      <c r="C58" s="13"/>
      <c r="D58" s="8"/>
      <c r="E58" s="8"/>
      <c r="J58" s="14"/>
      <c r="K58" s="15" t="s">
        <v>24</v>
      </c>
      <c r="L58" s="8"/>
      <c r="M58" s="11">
        <f>SUM(M57:M57)</f>
        <v>1447</v>
      </c>
      <c r="N58" s="14"/>
      <c r="O58" s="14"/>
    </row>
    <row r="59" spans="1:74">
      <c r="A59" s="8" t="s">
        <v>83</v>
      </c>
      <c r="B59" s="8" t="s">
        <v>53</v>
      </c>
      <c r="C59" s="13">
        <v>581.0</v>
      </c>
      <c r="D59" s="8" t="s">
        <v>27</v>
      </c>
      <c r="E59" s="8" t="s">
        <v>84</v>
      </c>
      <c r="F59" s="9">
        <v>42205.0</v>
      </c>
      <c r="G59" s="9">
        <v>43575.0</v>
      </c>
      <c r="J59" s="14">
        <v>1456.0</v>
      </c>
      <c r="K59" s="8" t="s">
        <v>8</v>
      </c>
      <c r="L59" s="8" t="s">
        <v>23</v>
      </c>
      <c r="M59" s="14">
        <v>1708.0</v>
      </c>
      <c r="N59" s="14">
        <v>0.0</v>
      </c>
      <c r="O59" s="14">
        <v>300.0</v>
      </c>
    </row>
    <row r="60" spans="1:74">
      <c r="B60" s="8"/>
      <c r="C60" s="13"/>
      <c r="D60" s="8"/>
      <c r="E60" s="8"/>
      <c r="J60" s="14"/>
      <c r="K60" s="8"/>
      <c r="L60" s="8" t="s">
        <v>38</v>
      </c>
      <c r="M60" s="14">
        <v>185.0</v>
      </c>
      <c r="N60" s="14"/>
      <c r="O60" s="14"/>
    </row>
    <row r="61" spans="1:74">
      <c r="B61" s="8"/>
      <c r="C61" s="13"/>
      <c r="D61" s="8"/>
      <c r="E61" s="8"/>
      <c r="J61" s="14"/>
      <c r="K61" s="15" t="s">
        <v>24</v>
      </c>
      <c r="L61" s="8"/>
      <c r="M61" s="11">
        <f>SUM(M59:M60)</f>
        <v>1893</v>
      </c>
      <c r="N61" s="14"/>
      <c r="O61" s="14"/>
    </row>
    <row r="62" spans="1:74">
      <c r="A62" s="8" t="s">
        <v>85</v>
      </c>
      <c r="B62" s="8" t="s">
        <v>56</v>
      </c>
      <c r="C62" s="13">
        <v>594.0</v>
      </c>
      <c r="D62" s="8" t="s">
        <v>27</v>
      </c>
      <c r="E62" s="8" t="s">
        <v>86</v>
      </c>
      <c r="F62" s="9">
        <v>43403.0</v>
      </c>
      <c r="G62" s="9">
        <v>45777.0</v>
      </c>
      <c r="H62" s="9">
        <v>46202.0</v>
      </c>
      <c r="J62" s="14">
        <v>1520.0</v>
      </c>
      <c r="K62" s="8" t="s">
        <v>8</v>
      </c>
      <c r="L62" s="8" t="s">
        <v>23</v>
      </c>
      <c r="M62" s="14">
        <v>1614.0</v>
      </c>
      <c r="N62" s="14">
        <v>0.0</v>
      </c>
      <c r="O62" s="14">
        <v>399.0</v>
      </c>
    </row>
    <row r="63" spans="1:74">
      <c r="B63" s="8"/>
      <c r="C63" s="13"/>
      <c r="D63" s="8"/>
      <c r="E63" s="8"/>
      <c r="J63" s="14"/>
      <c r="K63" s="8"/>
      <c r="L63" s="8" t="s">
        <v>38</v>
      </c>
      <c r="M63" s="14">
        <v>185.0</v>
      </c>
      <c r="N63" s="14"/>
      <c r="O63" s="14"/>
    </row>
    <row r="64" spans="1:74">
      <c r="B64" s="8"/>
      <c r="C64" s="13"/>
      <c r="D64" s="8"/>
      <c r="E64" s="8"/>
      <c r="J64" s="14"/>
      <c r="K64" s="8"/>
      <c r="L64" s="8" t="s">
        <v>51</v>
      </c>
      <c r="M64" s="14">
        <v>40.0</v>
      </c>
      <c r="N64" s="14"/>
      <c r="O64" s="14"/>
    </row>
    <row r="65" spans="1:74">
      <c r="B65" s="8"/>
      <c r="C65" s="13"/>
      <c r="D65" s="8"/>
      <c r="E65" s="8"/>
      <c r="J65" s="14"/>
      <c r="K65" s="15" t="s">
        <v>24</v>
      </c>
      <c r="L65" s="8"/>
      <c r="M65" s="11">
        <f>SUM(M62:M64)</f>
        <v>1839</v>
      </c>
      <c r="N65" s="14"/>
      <c r="O65" s="14"/>
    </row>
    <row r="66" spans="1:74">
      <c r="A66" s="8" t="s">
        <v>87</v>
      </c>
      <c r="B66" s="8" t="s">
        <v>59</v>
      </c>
      <c r="C66" s="13">
        <v>462.0</v>
      </c>
      <c r="D66" s="8" t="s">
        <v>27</v>
      </c>
      <c r="E66" s="8" t="s">
        <v>88</v>
      </c>
      <c r="F66" s="9">
        <v>43168.0</v>
      </c>
      <c r="G66" s="9">
        <v>45939.0</v>
      </c>
      <c r="H66" s="9">
        <v>46395.0</v>
      </c>
      <c r="J66" s="14">
        <v>1197.0</v>
      </c>
      <c r="K66" s="8" t="s">
        <v>8</v>
      </c>
      <c r="L66" s="8" t="s">
        <v>23</v>
      </c>
      <c r="M66" s="14">
        <v>1363.0</v>
      </c>
      <c r="N66" s="14">
        <v>-1475.0</v>
      </c>
      <c r="O66" s="14">
        <v>0.0</v>
      </c>
    </row>
    <row r="67" spans="1:74">
      <c r="B67" s="8"/>
      <c r="C67" s="13"/>
      <c r="D67" s="8"/>
      <c r="E67" s="8"/>
      <c r="J67" s="14"/>
      <c r="K67" s="15" t="s">
        <v>24</v>
      </c>
      <c r="L67" s="8"/>
      <c r="M67" s="11">
        <f>SUM(M66:M66)</f>
        <v>1363</v>
      </c>
      <c r="N67" s="14"/>
      <c r="O67" s="14"/>
    </row>
    <row r="68" spans="1:74">
      <c r="A68" s="8" t="s">
        <v>89</v>
      </c>
      <c r="B68" s="8" t="s">
        <v>62</v>
      </c>
      <c r="C68" s="13">
        <v>385.0</v>
      </c>
      <c r="D68" s="8" t="s">
        <v>27</v>
      </c>
      <c r="E68" s="8" t="s">
        <v>90</v>
      </c>
      <c r="F68" s="9">
        <v>44356.0</v>
      </c>
      <c r="G68" s="9">
        <v>45817.0</v>
      </c>
      <c r="H68" s="9">
        <v>46211.0</v>
      </c>
      <c r="J68" s="14">
        <v>1145.0</v>
      </c>
      <c r="K68" s="8" t="s">
        <v>8</v>
      </c>
      <c r="L68" s="8" t="s">
        <v>23</v>
      </c>
      <c r="M68" s="14">
        <v>1372.0</v>
      </c>
      <c r="N68" s="14">
        <v>0.0</v>
      </c>
      <c r="O68" s="14">
        <v>399.0</v>
      </c>
    </row>
    <row r="69" spans="1:74">
      <c r="B69" s="8"/>
      <c r="C69" s="13"/>
      <c r="D69" s="8"/>
      <c r="E69" s="8"/>
      <c r="J69" s="14"/>
      <c r="K69" s="8"/>
      <c r="L69" s="8" t="s">
        <v>51</v>
      </c>
      <c r="M69" s="14">
        <v>40.0</v>
      </c>
      <c r="N69" s="14"/>
      <c r="O69" s="14"/>
    </row>
    <row r="70" spans="1:74">
      <c r="B70" s="8"/>
      <c r="C70" s="13"/>
      <c r="D70" s="8"/>
      <c r="E70" s="8"/>
      <c r="J70" s="14"/>
      <c r="K70" s="15" t="s">
        <v>24</v>
      </c>
      <c r="L70" s="8"/>
      <c r="M70" s="11">
        <f>SUM(M68:M69)</f>
        <v>1412</v>
      </c>
      <c r="N70" s="14"/>
      <c r="O70" s="14"/>
    </row>
    <row r="71" spans="1:74">
      <c r="A71" s="8" t="s">
        <v>91</v>
      </c>
      <c r="B71" s="8" t="s">
        <v>65</v>
      </c>
      <c r="C71" s="13">
        <v>399.0</v>
      </c>
      <c r="D71" s="8" t="s">
        <v>27</v>
      </c>
      <c r="E71" s="8" t="s">
        <v>92</v>
      </c>
      <c r="F71" s="9">
        <v>45508.0</v>
      </c>
      <c r="G71" s="9">
        <v>45873.0</v>
      </c>
      <c r="H71" s="9">
        <v>46268.0</v>
      </c>
      <c r="J71" s="14">
        <v>1171.0</v>
      </c>
      <c r="K71" s="8" t="s">
        <v>8</v>
      </c>
      <c r="L71" s="8" t="s">
        <v>23</v>
      </c>
      <c r="M71" s="14">
        <v>1188.0</v>
      </c>
      <c r="N71" s="14">
        <v>0.0</v>
      </c>
      <c r="O71" s="14">
        <v>300.0</v>
      </c>
    </row>
    <row r="72" spans="1:74">
      <c r="B72" s="8"/>
      <c r="C72" s="13"/>
      <c r="D72" s="8"/>
      <c r="E72" s="8"/>
      <c r="J72" s="14"/>
      <c r="K72" s="15" t="s">
        <v>24</v>
      </c>
      <c r="L72" s="8"/>
      <c r="M72" s="11">
        <f>SUM(M71:M71)</f>
        <v>1188</v>
      </c>
      <c r="N72" s="14"/>
      <c r="O72" s="14"/>
    </row>
    <row r="73" spans="1:74">
      <c r="A73" s="8" t="s">
        <v>93</v>
      </c>
      <c r="B73" s="8" t="s">
        <v>26</v>
      </c>
      <c r="C73" s="13">
        <v>595.0</v>
      </c>
      <c r="D73" s="8" t="s">
        <v>27</v>
      </c>
      <c r="E73" s="8" t="s">
        <v>94</v>
      </c>
      <c r="F73" s="9">
        <v>46024.0</v>
      </c>
      <c r="G73" s="9">
        <v>46024.0</v>
      </c>
      <c r="H73" s="9">
        <v>46418.0</v>
      </c>
      <c r="J73" s="14">
        <v>1451.0</v>
      </c>
      <c r="K73" s="8" t="s">
        <v>8</v>
      </c>
      <c r="L73" s="8" t="s">
        <v>23</v>
      </c>
      <c r="M73" s="14">
        <v>1451.0</v>
      </c>
      <c r="N73" s="14">
        <v>-1538.1</v>
      </c>
      <c r="O73" s="14">
        <v>300.0</v>
      </c>
    </row>
    <row r="74" spans="1:74">
      <c r="B74" s="8"/>
      <c r="C74" s="13"/>
      <c r="D74" s="8"/>
      <c r="E74" s="8"/>
      <c r="J74" s="14"/>
      <c r="K74" s="15" t="s">
        <v>24</v>
      </c>
      <c r="L74" s="8"/>
      <c r="M74" s="11">
        <f>SUM(M73:M73)</f>
        <v>1451</v>
      </c>
      <c r="N74" s="14"/>
      <c r="O74" s="14"/>
    </row>
    <row r="75" spans="1:74">
      <c r="A75" s="8" t="s">
        <v>95</v>
      </c>
      <c r="B75" s="8" t="s">
        <v>30</v>
      </c>
      <c r="C75" s="13">
        <v>569.0</v>
      </c>
      <c r="D75" s="8" t="s">
        <v>27</v>
      </c>
      <c r="E75" s="8" t="s">
        <v>96</v>
      </c>
      <c r="F75" s="9">
        <v>46129.0</v>
      </c>
      <c r="G75" s="9">
        <v>46129.0</v>
      </c>
      <c r="H75" s="9">
        <v>46507.0</v>
      </c>
      <c r="J75" s="14">
        <v>1324.0</v>
      </c>
      <c r="K75" s="8" t="s">
        <v>8</v>
      </c>
      <c r="L75" s="8" t="s">
        <v>23</v>
      </c>
      <c r="M75" s="14">
        <v>1324.0</v>
      </c>
      <c r="N75" s="14">
        <v>-1324.0</v>
      </c>
      <c r="O75" s="14">
        <v>300.0</v>
      </c>
    </row>
    <row r="76" spans="1:74">
      <c r="B76" s="8"/>
      <c r="C76" s="13"/>
      <c r="D76" s="8"/>
      <c r="E76" s="8"/>
      <c r="J76" s="14"/>
      <c r="K76" s="15" t="s">
        <v>24</v>
      </c>
      <c r="L76" s="8"/>
      <c r="M76" s="11">
        <f>SUM(M75:M75)</f>
        <v>1324</v>
      </c>
      <c r="N76" s="14"/>
      <c r="O76" s="14"/>
    </row>
    <row r="77" spans="1:74">
      <c r="A77" s="8" t="s">
        <v>97</v>
      </c>
      <c r="B77" s="8" t="s">
        <v>72</v>
      </c>
      <c r="C77" s="13">
        <v>551.0</v>
      </c>
      <c r="D77" s="8" t="s">
        <v>27</v>
      </c>
      <c r="E77" s="8" t="s">
        <v>98</v>
      </c>
      <c r="F77" s="9">
        <v>45947.0</v>
      </c>
      <c r="G77" s="9">
        <v>45947.0</v>
      </c>
      <c r="H77" s="9">
        <v>46403.0</v>
      </c>
      <c r="J77" s="14">
        <v>1435.0</v>
      </c>
      <c r="K77" s="8" t="s">
        <v>8</v>
      </c>
      <c r="L77" s="8" t="s">
        <v>23</v>
      </c>
      <c r="M77" s="14">
        <v>1329.0</v>
      </c>
      <c r="N77" s="14">
        <v>0.0</v>
      </c>
      <c r="O77" s="14">
        <v>500.0</v>
      </c>
    </row>
    <row r="78" spans="1:74">
      <c r="B78" s="8"/>
      <c r="C78" s="13"/>
      <c r="D78" s="8"/>
      <c r="E78" s="8"/>
      <c r="J78" s="14"/>
      <c r="K78" s="15" t="s">
        <v>24</v>
      </c>
      <c r="L78" s="8"/>
      <c r="M78" s="11">
        <f>SUM(M77:M77)</f>
        <v>1329</v>
      </c>
      <c r="N78" s="14"/>
      <c r="O78" s="14"/>
    </row>
    <row r="79" spans="1:74">
      <c r="A79" s="8" t="s">
        <v>99</v>
      </c>
      <c r="B79" s="8" t="s">
        <v>36</v>
      </c>
      <c r="C79" s="13">
        <v>566.0</v>
      </c>
      <c r="D79" s="8" t="s">
        <v>27</v>
      </c>
      <c r="E79" s="8" t="s">
        <v>100</v>
      </c>
      <c r="F79" s="9">
        <v>45152.0</v>
      </c>
      <c r="G79" s="9">
        <v>45518.0</v>
      </c>
      <c r="J79" s="14">
        <v>1440.0</v>
      </c>
      <c r="K79" s="8" t="s">
        <v>8</v>
      </c>
      <c r="L79" s="8" t="s">
        <v>23</v>
      </c>
      <c r="M79" s="14">
        <v>1600.0</v>
      </c>
      <c r="N79" s="14">
        <v>0.0</v>
      </c>
      <c r="O79" s="14">
        <v>99.0</v>
      </c>
    </row>
    <row r="80" spans="1:74">
      <c r="B80" s="8"/>
      <c r="C80" s="13"/>
      <c r="D80" s="8"/>
      <c r="E80" s="8"/>
      <c r="J80" s="14"/>
      <c r="K80" s="15" t="s">
        <v>24</v>
      </c>
      <c r="L80" s="8"/>
      <c r="M80" s="11">
        <f>SUM(M79:M79)</f>
        <v>1600</v>
      </c>
      <c r="N80" s="14"/>
      <c r="O80" s="14"/>
    </row>
    <row r="81" spans="1:74">
      <c r="A81" s="8" t="s">
        <v>101</v>
      </c>
      <c r="B81" s="8" t="s">
        <v>40</v>
      </c>
      <c r="C81" s="13">
        <v>513.0</v>
      </c>
      <c r="D81" s="8" t="s">
        <v>27</v>
      </c>
      <c r="E81" s="8" t="s">
        <v>102</v>
      </c>
      <c r="F81" s="9">
        <v>45808.0</v>
      </c>
      <c r="G81" s="9">
        <v>45808.0</v>
      </c>
      <c r="H81" s="9">
        <v>46172.0</v>
      </c>
      <c r="J81" s="14">
        <v>1404.0</v>
      </c>
      <c r="K81" s="8" t="s">
        <v>8</v>
      </c>
      <c r="L81" s="8" t="s">
        <v>23</v>
      </c>
      <c r="M81" s="14">
        <v>1610.0</v>
      </c>
      <c r="N81" s="14">
        <v>0.0</v>
      </c>
      <c r="O81" s="14">
        <v>600.0</v>
      </c>
    </row>
    <row r="82" spans="1:74">
      <c r="B82" s="8"/>
      <c r="C82" s="13"/>
      <c r="D82" s="8"/>
      <c r="E82" s="8"/>
      <c r="J82" s="14"/>
      <c r="K82" s="8"/>
      <c r="L82" s="8" t="s">
        <v>38</v>
      </c>
      <c r="M82" s="14">
        <v>185.0</v>
      </c>
      <c r="N82" s="14"/>
      <c r="O82" s="14"/>
    </row>
    <row r="83" spans="1:74">
      <c r="B83" s="8"/>
      <c r="C83" s="13"/>
      <c r="D83" s="8"/>
      <c r="E83" s="8"/>
      <c r="J83" s="14"/>
      <c r="K83" s="8"/>
      <c r="L83" s="8" t="s">
        <v>51</v>
      </c>
      <c r="M83" s="14">
        <v>40.0</v>
      </c>
      <c r="N83" s="14"/>
      <c r="O83" s="14"/>
    </row>
    <row r="84" spans="1:74">
      <c r="B84" s="8"/>
      <c r="C84" s="13"/>
      <c r="D84" s="8"/>
      <c r="E84" s="8"/>
      <c r="J84" s="14"/>
      <c r="K84" s="15" t="s">
        <v>24</v>
      </c>
      <c r="L84" s="8"/>
      <c r="M84" s="11">
        <f>SUM(M81:M83)</f>
        <v>1835</v>
      </c>
      <c r="N84" s="14"/>
      <c r="O84" s="14"/>
    </row>
    <row r="85" spans="1:74">
      <c r="A85" s="8" t="s">
        <v>103</v>
      </c>
      <c r="B85" s="8" t="s">
        <v>43</v>
      </c>
      <c r="C85" s="13">
        <v>510.0</v>
      </c>
      <c r="D85" s="8" t="s">
        <v>27</v>
      </c>
      <c r="E85" s="8" t="s">
        <v>104</v>
      </c>
      <c r="F85" s="9">
        <v>46113.0</v>
      </c>
      <c r="G85" s="9">
        <v>46113.0</v>
      </c>
      <c r="H85" s="9">
        <v>46477.0</v>
      </c>
      <c r="J85" s="14">
        <v>1394.0</v>
      </c>
      <c r="K85" s="8" t="s">
        <v>8</v>
      </c>
      <c r="L85" s="8" t="s">
        <v>23</v>
      </c>
      <c r="M85" s="14">
        <v>1394.0</v>
      </c>
      <c r="N85" s="14">
        <v>0.0</v>
      </c>
      <c r="O85" s="14">
        <v>300.0</v>
      </c>
    </row>
    <row r="86" spans="1:74">
      <c r="B86" s="8"/>
      <c r="C86" s="13"/>
      <c r="D86" s="8"/>
      <c r="E86" s="8"/>
      <c r="J86" s="14"/>
      <c r="K86" s="15" t="s">
        <v>24</v>
      </c>
      <c r="L86" s="8"/>
      <c r="M86" s="11">
        <f>SUM(M85:M85)</f>
        <v>1394</v>
      </c>
      <c r="N86" s="14"/>
      <c r="O86" s="14"/>
    </row>
    <row r="87" spans="1:74">
      <c r="A87" s="8" t="s">
        <v>105</v>
      </c>
      <c r="B87" s="8" t="s">
        <v>49</v>
      </c>
      <c r="C87" s="13">
        <v>580.0</v>
      </c>
      <c r="D87" s="8" t="s">
        <v>27</v>
      </c>
      <c r="E87" s="8" t="s">
        <v>106</v>
      </c>
      <c r="F87" s="9">
        <v>45923.0</v>
      </c>
      <c r="G87" s="9">
        <v>45923.0</v>
      </c>
      <c r="H87" s="9">
        <v>46348.0</v>
      </c>
      <c r="J87" s="14">
        <v>1510.0</v>
      </c>
      <c r="K87" s="8" t="s">
        <v>8</v>
      </c>
      <c r="L87" s="8" t="s">
        <v>23</v>
      </c>
      <c r="M87" s="14">
        <v>1392.0</v>
      </c>
      <c r="N87" s="14">
        <v>0.0</v>
      </c>
      <c r="O87" s="14">
        <v>300.0</v>
      </c>
    </row>
    <row r="88" spans="1:74">
      <c r="B88" s="8"/>
      <c r="C88" s="13"/>
      <c r="D88" s="8"/>
      <c r="E88" s="8"/>
      <c r="J88" s="14"/>
      <c r="K88" s="15" t="s">
        <v>24</v>
      </c>
      <c r="L88" s="8"/>
      <c r="M88" s="11">
        <f>SUM(M87:M87)</f>
        <v>1392</v>
      </c>
      <c r="N88" s="14"/>
      <c r="O88" s="14"/>
    </row>
    <row r="89" spans="1:74">
      <c r="A89" s="8" t="s">
        <v>107</v>
      </c>
      <c r="B89" s="8" t="s">
        <v>53</v>
      </c>
      <c r="C89" s="13">
        <v>581.0</v>
      </c>
      <c r="D89" s="8" t="s">
        <v>27</v>
      </c>
      <c r="E89" s="8" t="s">
        <v>108</v>
      </c>
      <c r="F89" s="9">
        <v>45642.0</v>
      </c>
      <c r="G89" s="9">
        <v>46007.0</v>
      </c>
      <c r="H89" s="9">
        <v>46387.0</v>
      </c>
      <c r="J89" s="14">
        <v>1461.0</v>
      </c>
      <c r="K89" s="8" t="s">
        <v>8</v>
      </c>
      <c r="L89" s="8" t="s">
        <v>23</v>
      </c>
      <c r="M89" s="14">
        <v>1308.0</v>
      </c>
      <c r="N89" s="14">
        <v>0.0</v>
      </c>
      <c r="O89" s="14">
        <v>300.0</v>
      </c>
    </row>
    <row r="90" spans="1:74">
      <c r="B90" s="8"/>
      <c r="C90" s="13"/>
      <c r="D90" s="8"/>
      <c r="E90" s="8"/>
      <c r="J90" s="14"/>
      <c r="K90" s="15" t="s">
        <v>24</v>
      </c>
      <c r="L90" s="8"/>
      <c r="M90" s="11">
        <f>SUM(M89:M89)</f>
        <v>1308</v>
      </c>
      <c r="N90" s="14"/>
      <c r="O90" s="14"/>
    </row>
    <row r="91" spans="1:74">
      <c r="A91" s="8" t="s">
        <v>109</v>
      </c>
      <c r="B91" s="8" t="s">
        <v>56</v>
      </c>
      <c r="C91" s="13">
        <v>594.0</v>
      </c>
      <c r="D91" s="8" t="s">
        <v>27</v>
      </c>
      <c r="E91" s="8" t="s">
        <v>110</v>
      </c>
      <c r="F91" s="9">
        <v>45279.0</v>
      </c>
      <c r="G91" s="9">
        <v>46010.0</v>
      </c>
      <c r="H91" s="9">
        <v>46387.0</v>
      </c>
      <c r="J91" s="14">
        <v>1475.0</v>
      </c>
      <c r="K91" s="8" t="s">
        <v>8</v>
      </c>
      <c r="L91" s="8" t="s">
        <v>23</v>
      </c>
      <c r="M91" s="14">
        <v>1560.0</v>
      </c>
      <c r="N91" s="14">
        <v>0.0</v>
      </c>
      <c r="O91" s="14">
        <v>600.0</v>
      </c>
    </row>
    <row r="92" spans="1:74">
      <c r="B92" s="8"/>
      <c r="C92" s="13"/>
      <c r="D92" s="8"/>
      <c r="E92" s="8"/>
      <c r="J92" s="14"/>
      <c r="K92" s="8"/>
      <c r="L92" s="8" t="s">
        <v>38</v>
      </c>
      <c r="M92" s="14">
        <v>185.0</v>
      </c>
      <c r="N92" s="14"/>
      <c r="O92" s="14"/>
    </row>
    <row r="93" spans="1:74">
      <c r="B93" s="8"/>
      <c r="C93" s="13"/>
      <c r="D93" s="8"/>
      <c r="E93" s="8"/>
      <c r="J93" s="14"/>
      <c r="K93" s="15" t="s">
        <v>24</v>
      </c>
      <c r="L93" s="8"/>
      <c r="M93" s="11">
        <f>SUM(M91:M92)</f>
        <v>1745</v>
      </c>
      <c r="N93" s="14"/>
      <c r="O93" s="14"/>
    </row>
    <row r="94" spans="1:74">
      <c r="A94" s="8" t="s">
        <v>111</v>
      </c>
      <c r="B94" s="8" t="s">
        <v>59</v>
      </c>
      <c r="C94" s="13">
        <v>462.0</v>
      </c>
      <c r="D94" s="8" t="s">
        <v>27</v>
      </c>
      <c r="E94" s="8" t="s">
        <v>112</v>
      </c>
      <c r="F94" s="9">
        <v>45757.0</v>
      </c>
      <c r="G94" s="9">
        <v>45757.0</v>
      </c>
      <c r="H94" s="9">
        <v>46151.0</v>
      </c>
      <c r="J94" s="14">
        <v>1202.0</v>
      </c>
      <c r="K94" s="8" t="s">
        <v>8</v>
      </c>
      <c r="L94" s="8" t="s">
        <v>23</v>
      </c>
      <c r="M94" s="14">
        <v>1173.0</v>
      </c>
      <c r="N94" s="14">
        <v>0.0</v>
      </c>
      <c r="O94" s="14">
        <v>500.0</v>
      </c>
    </row>
    <row r="95" spans="1:74">
      <c r="B95" s="8"/>
      <c r="C95" s="13"/>
      <c r="D95" s="8"/>
      <c r="E95" s="8"/>
      <c r="J95" s="14"/>
      <c r="K95" s="15" t="s">
        <v>24</v>
      </c>
      <c r="L95" s="8"/>
      <c r="M95" s="11">
        <f>SUM(M94:M94)</f>
        <v>1173</v>
      </c>
      <c r="N95" s="14"/>
      <c r="O95" s="14"/>
    </row>
    <row r="96" spans="1:74">
      <c r="A96" s="8" t="s">
        <v>113</v>
      </c>
      <c r="B96" s="8" t="s">
        <v>62</v>
      </c>
      <c r="C96" s="13">
        <v>385.0</v>
      </c>
      <c r="D96" s="8" t="s">
        <v>27</v>
      </c>
      <c r="E96" s="8" t="s">
        <v>114</v>
      </c>
      <c r="F96" s="9">
        <v>45864.0</v>
      </c>
      <c r="G96" s="9">
        <v>45864.0</v>
      </c>
      <c r="H96" s="9">
        <v>46259.0</v>
      </c>
      <c r="J96" s="14">
        <v>1150.0</v>
      </c>
      <c r="K96" s="8" t="s">
        <v>8</v>
      </c>
      <c r="L96" s="8" t="s">
        <v>23</v>
      </c>
      <c r="M96" s="14">
        <v>1070.0</v>
      </c>
      <c r="N96" s="14">
        <v>0.0</v>
      </c>
      <c r="O96" s="14">
        <v>300.0</v>
      </c>
    </row>
    <row r="97" spans="1:74">
      <c r="B97" s="8"/>
      <c r="C97" s="13"/>
      <c r="D97" s="8"/>
      <c r="E97" s="8"/>
      <c r="J97" s="14"/>
      <c r="K97" s="8"/>
      <c r="L97" s="8" t="s">
        <v>38</v>
      </c>
      <c r="M97" s="14">
        <v>185.0</v>
      </c>
      <c r="N97" s="14"/>
      <c r="O97" s="14"/>
    </row>
    <row r="98" spans="1:74">
      <c r="B98" s="8"/>
      <c r="C98" s="13"/>
      <c r="D98" s="8"/>
      <c r="E98" s="8"/>
      <c r="J98" s="14"/>
      <c r="K98" s="15" t="s">
        <v>24</v>
      </c>
      <c r="L98" s="8"/>
      <c r="M98" s="11">
        <f>SUM(M96:M97)</f>
        <v>1255</v>
      </c>
      <c r="N98" s="14"/>
      <c r="O98" s="14"/>
    </row>
    <row r="99" spans="1:74">
      <c r="A99" s="8" t="s">
        <v>115</v>
      </c>
      <c r="B99" s="8" t="s">
        <v>65</v>
      </c>
      <c r="C99" s="13">
        <v>399.0</v>
      </c>
      <c r="D99" s="8" t="s">
        <v>27</v>
      </c>
      <c r="E99" s="8" t="s">
        <v>116</v>
      </c>
      <c r="F99" s="9">
        <v>45944.0</v>
      </c>
      <c r="G99" s="9">
        <v>45944.0</v>
      </c>
      <c r="H99" s="9">
        <v>46400.0</v>
      </c>
      <c r="J99" s="14">
        <v>1176.0</v>
      </c>
      <c r="K99" s="8" t="s">
        <v>8</v>
      </c>
      <c r="L99" s="8" t="s">
        <v>23</v>
      </c>
      <c r="M99" s="14">
        <v>1081.0</v>
      </c>
      <c r="N99" s="14">
        <v>-1081.0</v>
      </c>
      <c r="O99" s="14">
        <v>300.0</v>
      </c>
    </row>
    <row r="100" spans="1:74">
      <c r="B100" s="8"/>
      <c r="C100" s="13"/>
      <c r="D100" s="8"/>
      <c r="E100" s="8"/>
      <c r="J100" s="14"/>
      <c r="K100" s="15" t="s">
        <v>24</v>
      </c>
      <c r="L100" s="8"/>
      <c r="M100" s="11">
        <f>SUM(M99:M99)</f>
        <v>1081</v>
      </c>
      <c r="N100" s="14"/>
      <c r="O100" s="14"/>
    </row>
    <row r="101" spans="1:74">
      <c r="A101" s="8" t="s">
        <v>117</v>
      </c>
      <c r="B101" s="8" t="s">
        <v>26</v>
      </c>
      <c r="C101" s="13">
        <v>595.0</v>
      </c>
      <c r="D101" s="8" t="s">
        <v>27</v>
      </c>
      <c r="E101" s="8" t="s">
        <v>118</v>
      </c>
      <c r="F101" s="9">
        <v>46113.0</v>
      </c>
      <c r="G101" s="9">
        <v>46113.0</v>
      </c>
      <c r="H101" s="9">
        <v>46477.0</v>
      </c>
      <c r="J101" s="14">
        <v>1456.0</v>
      </c>
      <c r="K101" s="8" t="s">
        <v>8</v>
      </c>
      <c r="L101" s="8" t="s">
        <v>23</v>
      </c>
      <c r="M101" s="14">
        <v>1456.0</v>
      </c>
      <c r="N101" s="14">
        <v>-1456.0</v>
      </c>
      <c r="O101" s="14">
        <v>300.0</v>
      </c>
    </row>
    <row r="102" spans="1:74">
      <c r="B102" s="8"/>
      <c r="C102" s="13"/>
      <c r="D102" s="8"/>
      <c r="E102" s="8"/>
      <c r="J102" s="14"/>
      <c r="K102" s="15" t="s">
        <v>24</v>
      </c>
      <c r="L102" s="8"/>
      <c r="M102" s="11">
        <f>SUM(M101:M101)</f>
        <v>1456</v>
      </c>
      <c r="N102" s="14"/>
      <c r="O102" s="14"/>
    </row>
    <row r="103" spans="1:74">
      <c r="A103" s="8" t="s">
        <v>119</v>
      </c>
      <c r="B103" s="8" t="s">
        <v>30</v>
      </c>
      <c r="C103" s="13">
        <v>569.0</v>
      </c>
      <c r="D103" s="8" t="s">
        <v>27</v>
      </c>
      <c r="E103" s="8" t="s">
        <v>120</v>
      </c>
      <c r="F103" s="9">
        <v>45642.0</v>
      </c>
      <c r="G103" s="9">
        <v>46007.0</v>
      </c>
      <c r="H103" s="9">
        <v>46387.0</v>
      </c>
      <c r="J103" s="14">
        <v>1450.0</v>
      </c>
      <c r="K103" s="8" t="s">
        <v>8</v>
      </c>
      <c r="L103" s="8" t="s">
        <v>23</v>
      </c>
      <c r="M103" s="14">
        <v>1297.0</v>
      </c>
      <c r="N103" s="14">
        <v>0.0</v>
      </c>
      <c r="O103" s="14">
        <v>300.0</v>
      </c>
    </row>
    <row r="104" spans="1:74">
      <c r="B104" s="8"/>
      <c r="C104" s="13"/>
      <c r="D104" s="8"/>
      <c r="E104" s="8"/>
      <c r="J104" s="14"/>
      <c r="K104" s="15" t="s">
        <v>24</v>
      </c>
      <c r="L104" s="8"/>
      <c r="M104" s="11">
        <f>SUM(M103:M103)</f>
        <v>1297</v>
      </c>
      <c r="N104" s="14"/>
      <c r="O104" s="14"/>
    </row>
    <row r="105" spans="1:74">
      <c r="A105" s="8" t="s">
        <v>121</v>
      </c>
      <c r="B105" s="8" t="s">
        <v>72</v>
      </c>
      <c r="C105" s="13">
        <v>551.0</v>
      </c>
      <c r="D105" s="8" t="s">
        <v>27</v>
      </c>
      <c r="E105" s="8" t="s">
        <v>122</v>
      </c>
      <c r="F105" s="9">
        <v>46059.0</v>
      </c>
      <c r="G105" s="9">
        <v>46059.0</v>
      </c>
      <c r="H105" s="9">
        <v>46446.0</v>
      </c>
      <c r="J105" s="14">
        <v>1399.0</v>
      </c>
      <c r="K105" s="8" t="s">
        <v>8</v>
      </c>
      <c r="L105" s="8" t="s">
        <v>23</v>
      </c>
      <c r="M105" s="14">
        <v>1399.0</v>
      </c>
      <c r="N105" s="14">
        <v>0.0</v>
      </c>
      <c r="O105" s="14">
        <v>1000.0</v>
      </c>
    </row>
    <row r="106" spans="1:74">
      <c r="B106" s="8"/>
      <c r="C106" s="13"/>
      <c r="D106" s="8"/>
      <c r="E106" s="8"/>
      <c r="J106" s="14"/>
      <c r="K106" s="8"/>
      <c r="L106" s="8" t="s">
        <v>38</v>
      </c>
      <c r="M106" s="14">
        <v>185.0</v>
      </c>
      <c r="N106" s="14"/>
      <c r="O106" s="14"/>
    </row>
    <row r="107" spans="1:74">
      <c r="B107" s="8"/>
      <c r="C107" s="13"/>
      <c r="D107" s="8"/>
      <c r="E107" s="8"/>
      <c r="J107" s="14"/>
      <c r="K107" s="15" t="s">
        <v>24</v>
      </c>
      <c r="L107" s="8"/>
      <c r="M107" s="11">
        <f>SUM(M105:M106)</f>
        <v>1584</v>
      </c>
      <c r="N107" s="14"/>
      <c r="O107" s="14"/>
    </row>
    <row r="108" spans="1:74">
      <c r="A108" s="8" t="s">
        <v>123</v>
      </c>
      <c r="B108" s="8" t="s">
        <v>36</v>
      </c>
      <c r="C108" s="13">
        <v>566.0</v>
      </c>
      <c r="D108" s="8" t="s">
        <v>21</v>
      </c>
      <c r="E108" s="8" t="s">
        <v>124</v>
      </c>
      <c r="F108" s="9">
        <v>45853.0</v>
      </c>
      <c r="G108" s="9">
        <v>45853.0</v>
      </c>
      <c r="H108" s="9">
        <v>46279.0</v>
      </c>
      <c r="I108" s="9">
        <v>46203.0</v>
      </c>
      <c r="J108" s="14">
        <v>1445.0</v>
      </c>
      <c r="K108" s="8" t="s">
        <v>8</v>
      </c>
      <c r="L108" s="8" t="s">
        <v>23</v>
      </c>
      <c r="M108" s="14">
        <v>1346.0</v>
      </c>
      <c r="N108" s="14">
        <v>2019.0</v>
      </c>
      <c r="O108" s="14">
        <v>500.0</v>
      </c>
    </row>
    <row r="109" spans="1:74">
      <c r="B109" s="8"/>
      <c r="C109" s="13"/>
      <c r="D109" s="8"/>
      <c r="E109" s="8"/>
      <c r="J109" s="14"/>
      <c r="K109" s="8"/>
      <c r="L109" s="8" t="s">
        <v>38</v>
      </c>
      <c r="M109" s="14">
        <v>185.0</v>
      </c>
      <c r="N109" s="14"/>
      <c r="O109" s="14"/>
    </row>
    <row r="110" spans="1:74">
      <c r="B110" s="8"/>
      <c r="C110" s="13"/>
      <c r="D110" s="8"/>
      <c r="E110" s="8"/>
      <c r="J110" s="14"/>
      <c r="K110" s="15" t="s">
        <v>24</v>
      </c>
      <c r="L110" s="8"/>
      <c r="M110" s="11">
        <f>SUM(M108:M109)</f>
        <v>1531</v>
      </c>
      <c r="N110" s="14"/>
      <c r="O110" s="14"/>
    </row>
    <row r="111" spans="1:74">
      <c r="A111" s="8" t="s">
        <v>125</v>
      </c>
      <c r="B111" s="8" t="s">
        <v>40</v>
      </c>
      <c r="C111" s="13">
        <v>513.0</v>
      </c>
      <c r="D111" s="8" t="s">
        <v>27</v>
      </c>
      <c r="E111" s="8" t="s">
        <v>126</v>
      </c>
      <c r="F111" s="9">
        <v>44650.0</v>
      </c>
      <c r="G111" s="9">
        <v>45746.0</v>
      </c>
      <c r="H111" s="9">
        <v>46171.0</v>
      </c>
      <c r="J111" s="14">
        <v>1409.0</v>
      </c>
      <c r="K111" s="8" t="s">
        <v>8</v>
      </c>
      <c r="L111" s="8" t="s">
        <v>23</v>
      </c>
      <c r="M111" s="14">
        <v>1690.0</v>
      </c>
      <c r="N111" s="14">
        <v>0.0</v>
      </c>
      <c r="O111" s="14">
        <v>99.0</v>
      </c>
    </row>
    <row r="112" spans="1:74">
      <c r="B112" s="8"/>
      <c r="C112" s="13"/>
      <c r="D112" s="8"/>
      <c r="E112" s="8"/>
      <c r="J112" s="14"/>
      <c r="K112" s="8"/>
      <c r="L112" s="8" t="s">
        <v>38</v>
      </c>
      <c r="M112" s="14">
        <v>185.0</v>
      </c>
      <c r="N112" s="14"/>
      <c r="O112" s="14"/>
    </row>
    <row r="113" spans="1:74">
      <c r="B113" s="8"/>
      <c r="C113" s="13"/>
      <c r="D113" s="8"/>
      <c r="E113" s="8"/>
      <c r="J113" s="14"/>
      <c r="K113" s="15" t="s">
        <v>24</v>
      </c>
      <c r="L113" s="8"/>
      <c r="M113" s="11">
        <f>SUM(M111:M112)</f>
        <v>1875</v>
      </c>
      <c r="N113" s="14"/>
      <c r="O113" s="14"/>
    </row>
    <row r="114" spans="1:74">
      <c r="A114" s="8" t="s">
        <v>127</v>
      </c>
      <c r="B114" s="8" t="s">
        <v>43</v>
      </c>
      <c r="C114" s="13">
        <v>510.0</v>
      </c>
      <c r="D114" s="8" t="s">
        <v>128</v>
      </c>
      <c r="E114" s="8" t="s">
        <v>129</v>
      </c>
      <c r="F114" s="9">
        <v>45518.0</v>
      </c>
      <c r="G114" s="9">
        <v>45914.0</v>
      </c>
      <c r="H114" s="9">
        <v>46308.0</v>
      </c>
      <c r="I114" s="9">
        <v>46142.0</v>
      </c>
      <c r="J114" s="14">
        <v>1384.0</v>
      </c>
      <c r="K114" s="8" t="s">
        <v>8</v>
      </c>
      <c r="L114" s="8" t="s">
        <v>23</v>
      </c>
      <c r="M114" s="14">
        <v>1445.0</v>
      </c>
      <c r="N114" s="14">
        <v>0.0</v>
      </c>
      <c r="O114" s="14">
        <v>300.0</v>
      </c>
    </row>
    <row r="115" spans="1:74">
      <c r="B115" s="8"/>
      <c r="C115" s="13"/>
      <c r="D115" s="8"/>
      <c r="E115" s="8"/>
      <c r="J115" s="14"/>
      <c r="K115" s="15" t="s">
        <v>24</v>
      </c>
      <c r="L115" s="8"/>
      <c r="M115" s="11">
        <f>SUM(M114:M114)</f>
        <v>1445</v>
      </c>
      <c r="N115" s="14"/>
      <c r="O115" s="14"/>
    </row>
    <row r="116" spans="1:74">
      <c r="A116" s="8" t="s">
        <v>130</v>
      </c>
      <c r="B116" s="8" t="s">
        <v>46</v>
      </c>
      <c r="C116" s="13">
        <v>804.0</v>
      </c>
      <c r="D116" s="8" t="s">
        <v>27</v>
      </c>
      <c r="E116" s="8" t="s">
        <v>131</v>
      </c>
      <c r="F116" s="9">
        <v>46136.0</v>
      </c>
      <c r="G116" s="9">
        <v>46136.0</v>
      </c>
      <c r="H116" s="9">
        <v>46507.0</v>
      </c>
      <c r="J116" s="14">
        <v>1944.0</v>
      </c>
      <c r="K116" s="8" t="s">
        <v>8</v>
      </c>
      <c r="L116" s="8" t="s">
        <v>23</v>
      </c>
      <c r="M116" s="14">
        <v>1944.0</v>
      </c>
      <c r="N116" s="14">
        <v>0.0</v>
      </c>
      <c r="O116" s="14">
        <v>300.0</v>
      </c>
    </row>
    <row r="117" spans="1:74">
      <c r="B117" s="8"/>
      <c r="C117" s="13"/>
      <c r="D117" s="8"/>
      <c r="E117" s="8"/>
      <c r="J117" s="14"/>
      <c r="K117" s="15" t="s">
        <v>24</v>
      </c>
      <c r="L117" s="8"/>
      <c r="M117" s="11">
        <f>SUM(M116:M116)</f>
        <v>1944</v>
      </c>
      <c r="N117" s="14"/>
      <c r="O117" s="14"/>
    </row>
    <row r="118" spans="1:74">
      <c r="A118" s="8" t="s">
        <v>132</v>
      </c>
      <c r="B118" s="8" t="s">
        <v>49</v>
      </c>
      <c r="C118" s="13">
        <v>580.0</v>
      </c>
      <c r="D118" s="8" t="s">
        <v>133</v>
      </c>
      <c r="E118" s="8" t="s">
        <v>134</v>
      </c>
      <c r="J118" s="14">
        <v>1616.0</v>
      </c>
      <c r="K118" s="8" t="s">
        <v>135</v>
      </c>
      <c r="L118" s="8" t="s">
        <v>135</v>
      </c>
      <c r="M118" s="14">
        <v>0.0</v>
      </c>
      <c r="N118" s="14"/>
      <c r="O118" s="14">
        <v>0.0</v>
      </c>
    </row>
    <row r="119" spans="1:74">
      <c r="B119" s="8"/>
      <c r="C119" s="13"/>
      <c r="D119" s="8"/>
      <c r="E119" s="8"/>
      <c r="J119" s="14"/>
      <c r="K119" s="15" t="s">
        <v>24</v>
      </c>
      <c r="L119" s="8"/>
      <c r="M119" s="11">
        <f>SUM(M118:M118)</f>
        <v>0</v>
      </c>
      <c r="N119" s="14"/>
      <c r="O119" s="14"/>
    </row>
    <row r="120" spans="1:74">
      <c r="A120" s="8" t="s">
        <v>136</v>
      </c>
      <c r="B120" s="8" t="s">
        <v>53</v>
      </c>
      <c r="C120" s="13">
        <v>581.0</v>
      </c>
      <c r="D120" s="8" t="s">
        <v>27</v>
      </c>
      <c r="E120" s="8" t="s">
        <v>137</v>
      </c>
      <c r="F120" s="9">
        <v>45610.0</v>
      </c>
      <c r="G120" s="9">
        <v>45975.0</v>
      </c>
      <c r="J120" s="14">
        <v>1466.0</v>
      </c>
      <c r="K120" s="8" t="s">
        <v>8</v>
      </c>
      <c r="L120" s="8" t="s">
        <v>23</v>
      </c>
      <c r="M120" s="14">
        <v>1321.0</v>
      </c>
      <c r="N120" s="14">
        <v>-100.0</v>
      </c>
      <c r="O120" s="14">
        <v>300.0</v>
      </c>
    </row>
    <row r="121" spans="1:74">
      <c r="B121" s="8"/>
      <c r="C121" s="13"/>
      <c r="D121" s="8"/>
      <c r="E121" s="8"/>
      <c r="J121" s="14"/>
      <c r="K121" s="15" t="s">
        <v>24</v>
      </c>
      <c r="L121" s="8"/>
      <c r="M121" s="11">
        <f>SUM(M120:M120)</f>
        <v>1321</v>
      </c>
      <c r="N121" s="14"/>
      <c r="O121" s="14"/>
    </row>
    <row r="122" spans="1:74">
      <c r="A122" s="8" t="s">
        <v>138</v>
      </c>
      <c r="B122" s="8" t="s">
        <v>56</v>
      </c>
      <c r="C122" s="13">
        <v>594.0</v>
      </c>
      <c r="D122" s="8" t="s">
        <v>27</v>
      </c>
      <c r="E122" s="8" t="s">
        <v>139</v>
      </c>
      <c r="F122" s="9">
        <v>45587.0</v>
      </c>
      <c r="G122" s="9">
        <v>46044.0</v>
      </c>
      <c r="H122" s="9">
        <v>46507.0</v>
      </c>
      <c r="J122" s="14">
        <v>1480.0</v>
      </c>
      <c r="K122" s="8" t="s">
        <v>8</v>
      </c>
      <c r="L122" s="8" t="s">
        <v>23</v>
      </c>
      <c r="M122" s="14">
        <v>1478.0</v>
      </c>
      <c r="N122" s="14">
        <v>0.0</v>
      </c>
      <c r="O122" s="14">
        <v>300.0</v>
      </c>
    </row>
    <row r="123" spans="1:74">
      <c r="B123" s="8"/>
      <c r="C123" s="13"/>
      <c r="D123" s="8"/>
      <c r="E123" s="8"/>
      <c r="J123" s="14"/>
      <c r="K123" s="15" t="s">
        <v>24</v>
      </c>
      <c r="L123" s="8"/>
      <c r="M123" s="11">
        <f>SUM(M122:M122)</f>
        <v>1478</v>
      </c>
      <c r="N123" s="14"/>
      <c r="O123" s="14"/>
    </row>
    <row r="124" spans="1:74">
      <c r="A124" s="8" t="s">
        <v>140</v>
      </c>
      <c r="B124" s="8" t="s">
        <v>59</v>
      </c>
      <c r="C124" s="13">
        <v>462.0</v>
      </c>
      <c r="D124" s="8" t="s">
        <v>27</v>
      </c>
      <c r="E124" s="8" t="s">
        <v>141</v>
      </c>
      <c r="F124" s="9">
        <v>45038.0</v>
      </c>
      <c r="G124" s="9">
        <v>45769.0</v>
      </c>
      <c r="H124" s="9">
        <v>46194.0</v>
      </c>
      <c r="J124" s="14">
        <v>1207.0</v>
      </c>
      <c r="K124" s="8" t="s">
        <v>8</v>
      </c>
      <c r="L124" s="8" t="s">
        <v>23</v>
      </c>
      <c r="M124" s="14">
        <v>1322.0</v>
      </c>
      <c r="N124" s="14">
        <v>0.0</v>
      </c>
      <c r="O124" s="14">
        <v>600.0</v>
      </c>
    </row>
    <row r="125" spans="1:74">
      <c r="B125" s="8"/>
      <c r="C125" s="13"/>
      <c r="D125" s="8"/>
      <c r="E125" s="8"/>
      <c r="J125" s="14"/>
      <c r="K125" s="8"/>
      <c r="L125" s="8" t="s">
        <v>51</v>
      </c>
      <c r="M125" s="14">
        <v>40.0</v>
      </c>
      <c r="N125" s="14"/>
      <c r="O125" s="14"/>
    </row>
    <row r="126" spans="1:74">
      <c r="B126" s="8"/>
      <c r="C126" s="13"/>
      <c r="D126" s="8"/>
      <c r="E126" s="8"/>
      <c r="J126" s="14"/>
      <c r="K126" s="15" t="s">
        <v>24</v>
      </c>
      <c r="L126" s="8"/>
      <c r="M126" s="11">
        <f>SUM(M124:M125)</f>
        <v>1362</v>
      </c>
      <c r="N126" s="14"/>
      <c r="O126" s="14"/>
    </row>
    <row r="127" spans="1:74">
      <c r="A127" s="8" t="s">
        <v>142</v>
      </c>
      <c r="B127" s="8" t="s">
        <v>62</v>
      </c>
      <c r="C127" s="13">
        <v>385.0</v>
      </c>
      <c r="D127" s="8" t="s">
        <v>27</v>
      </c>
      <c r="E127" s="8" t="s">
        <v>143</v>
      </c>
      <c r="F127" s="9">
        <v>45069.0</v>
      </c>
      <c r="G127" s="9">
        <v>45831.0</v>
      </c>
      <c r="H127" s="9">
        <v>46256.0</v>
      </c>
      <c r="J127" s="14">
        <v>1155.0</v>
      </c>
      <c r="K127" s="8" t="s">
        <v>8</v>
      </c>
      <c r="L127" s="8" t="s">
        <v>23</v>
      </c>
      <c r="M127" s="14">
        <v>1270.0</v>
      </c>
      <c r="N127" s="14">
        <v>-1340.0</v>
      </c>
      <c r="O127" s="14">
        <v>99.0</v>
      </c>
    </row>
    <row r="128" spans="1:74">
      <c r="B128" s="8"/>
      <c r="C128" s="13"/>
      <c r="D128" s="8"/>
      <c r="E128" s="8"/>
      <c r="J128" s="14"/>
      <c r="K128" s="15" t="s">
        <v>24</v>
      </c>
      <c r="L128" s="8"/>
      <c r="M128" s="11">
        <f>SUM(M127:M127)</f>
        <v>1270</v>
      </c>
      <c r="N128" s="14"/>
      <c r="O128" s="14"/>
    </row>
    <row r="129" spans="1:74">
      <c r="A129" s="8" t="s">
        <v>144</v>
      </c>
      <c r="B129" s="8" t="s">
        <v>65</v>
      </c>
      <c r="C129" s="13">
        <v>399.0</v>
      </c>
      <c r="D129" s="8" t="s">
        <v>27</v>
      </c>
      <c r="E129" s="8" t="s">
        <v>145</v>
      </c>
      <c r="F129" s="9">
        <v>45931.0</v>
      </c>
      <c r="G129" s="9">
        <v>46113.0</v>
      </c>
      <c r="J129" s="14">
        <v>1181.0</v>
      </c>
      <c r="K129" s="8" t="s">
        <v>8</v>
      </c>
      <c r="L129" s="8" t="s">
        <v>23</v>
      </c>
      <c r="M129" s="14">
        <v>1300.0</v>
      </c>
      <c r="N129" s="14">
        <v>-1371.13</v>
      </c>
      <c r="O129" s="14">
        <v>300.0</v>
      </c>
    </row>
    <row r="130" spans="1:74">
      <c r="B130" s="8"/>
      <c r="C130" s="13"/>
      <c r="D130" s="8"/>
      <c r="E130" s="8"/>
      <c r="J130" s="14"/>
      <c r="K130" s="15" t="s">
        <v>24</v>
      </c>
      <c r="L130" s="8"/>
      <c r="M130" s="11">
        <f>SUM(M129:M129)</f>
        <v>1300</v>
      </c>
      <c r="N130" s="14"/>
      <c r="O130" s="14"/>
    </row>
    <row r="131" spans="1:74">
      <c r="A131" s="8" t="s">
        <v>146</v>
      </c>
      <c r="B131" s="8" t="s">
        <v>147</v>
      </c>
      <c r="C131" s="13">
        <v>608.0</v>
      </c>
      <c r="D131" s="8" t="s">
        <v>27</v>
      </c>
      <c r="E131" s="8" t="s">
        <v>148</v>
      </c>
      <c r="F131" s="9">
        <v>46101.0</v>
      </c>
      <c r="G131" s="9">
        <v>46101.0</v>
      </c>
      <c r="H131" s="9">
        <v>46477.0</v>
      </c>
      <c r="J131" s="14">
        <v>1449.0</v>
      </c>
      <c r="K131" s="8" t="s">
        <v>8</v>
      </c>
      <c r="L131" s="8" t="s">
        <v>23</v>
      </c>
      <c r="M131" s="14">
        <v>1449.0</v>
      </c>
      <c r="N131" s="14">
        <v>0.0</v>
      </c>
      <c r="O131" s="14">
        <v>300.0</v>
      </c>
    </row>
    <row r="132" spans="1:74">
      <c r="B132" s="8"/>
      <c r="C132" s="13"/>
      <c r="D132" s="8"/>
      <c r="E132" s="8"/>
      <c r="J132" s="14"/>
      <c r="K132" s="15" t="s">
        <v>24</v>
      </c>
      <c r="L132" s="8"/>
      <c r="M132" s="11">
        <f>SUM(M131:M131)</f>
        <v>1449</v>
      </c>
      <c r="N132" s="14"/>
      <c r="O132" s="14"/>
    </row>
    <row r="133" spans="1:74">
      <c r="A133" s="8" t="s">
        <v>149</v>
      </c>
      <c r="B133" s="8" t="s">
        <v>30</v>
      </c>
      <c r="C133" s="13">
        <v>569.0</v>
      </c>
      <c r="D133" s="8" t="s">
        <v>27</v>
      </c>
      <c r="E133" s="8" t="s">
        <v>150</v>
      </c>
      <c r="F133" s="9">
        <v>44838.0</v>
      </c>
      <c r="G133" s="9">
        <v>45934.0</v>
      </c>
      <c r="H133" s="9">
        <v>46142.0</v>
      </c>
      <c r="J133" s="14">
        <v>1455.0</v>
      </c>
      <c r="K133" s="8" t="s">
        <v>8</v>
      </c>
      <c r="L133" s="8" t="s">
        <v>23</v>
      </c>
      <c r="M133" s="14">
        <v>1552.0</v>
      </c>
      <c r="N133" s="14">
        <v>-1552.0</v>
      </c>
      <c r="O133" s="14">
        <v>99.0</v>
      </c>
    </row>
    <row r="134" spans="1:74">
      <c r="B134" s="8"/>
      <c r="C134" s="13"/>
      <c r="D134" s="8"/>
      <c r="E134" s="8"/>
      <c r="J134" s="14"/>
      <c r="K134" s="15" t="s">
        <v>24</v>
      </c>
      <c r="L134" s="8"/>
      <c r="M134" s="11">
        <f>SUM(M133:M133)</f>
        <v>1552</v>
      </c>
      <c r="N134" s="14"/>
      <c r="O134" s="14"/>
    </row>
    <row r="135" spans="1:74">
      <c r="A135" s="8" t="s">
        <v>151</v>
      </c>
      <c r="B135" s="8" t="s">
        <v>152</v>
      </c>
      <c r="C135" s="13">
        <v>525.0</v>
      </c>
      <c r="D135" s="8" t="s">
        <v>27</v>
      </c>
      <c r="E135" s="8" t="s">
        <v>153</v>
      </c>
      <c r="F135" s="9">
        <v>45607.0</v>
      </c>
      <c r="G135" s="9">
        <v>45972.0</v>
      </c>
      <c r="H135" s="9">
        <v>46336.0</v>
      </c>
      <c r="J135" s="14">
        <v>1419.0</v>
      </c>
      <c r="K135" s="8" t="s">
        <v>8</v>
      </c>
      <c r="L135" s="8" t="s">
        <v>23</v>
      </c>
      <c r="M135" s="14">
        <v>1324.0</v>
      </c>
      <c r="N135" s="14">
        <v>0.0</v>
      </c>
      <c r="O135" s="14">
        <v>500.0</v>
      </c>
    </row>
    <row r="136" spans="1:74">
      <c r="B136" s="8"/>
      <c r="C136" s="13"/>
      <c r="D136" s="8"/>
      <c r="E136" s="8"/>
      <c r="J136" s="14"/>
      <c r="K136" s="8"/>
      <c r="L136" s="8" t="s">
        <v>38</v>
      </c>
      <c r="M136" s="14">
        <v>185.0</v>
      </c>
      <c r="N136" s="14"/>
      <c r="O136" s="14"/>
    </row>
    <row r="137" spans="1:74">
      <c r="B137" s="8"/>
      <c r="C137" s="13"/>
      <c r="D137" s="8"/>
      <c r="E137" s="8"/>
      <c r="J137" s="14"/>
      <c r="K137" s="15" t="s">
        <v>24</v>
      </c>
      <c r="L137" s="8"/>
      <c r="M137" s="11">
        <f>SUM(M135:M136)</f>
        <v>1509</v>
      </c>
      <c r="N137" s="14"/>
      <c r="O137" s="14"/>
    </row>
    <row r="138" spans="1:74">
      <c r="A138" s="8" t="s">
        <v>154</v>
      </c>
      <c r="B138" s="8" t="s">
        <v>36</v>
      </c>
      <c r="C138" s="13">
        <v>566.0</v>
      </c>
      <c r="D138" s="8" t="s">
        <v>27</v>
      </c>
      <c r="E138" s="8" t="s">
        <v>155</v>
      </c>
      <c r="F138" s="9">
        <v>43049.0</v>
      </c>
      <c r="G138" s="9">
        <v>46001.0</v>
      </c>
      <c r="H138" s="9">
        <v>46387.0</v>
      </c>
      <c r="J138" s="14">
        <v>1450.0</v>
      </c>
      <c r="K138" s="8" t="s">
        <v>8</v>
      </c>
      <c r="L138" s="8" t="s">
        <v>23</v>
      </c>
      <c r="M138" s="14">
        <v>1733.0</v>
      </c>
      <c r="N138" s="14">
        <v>0.0</v>
      </c>
      <c r="O138" s="14">
        <v>300.0</v>
      </c>
    </row>
    <row r="139" spans="1:74">
      <c r="B139" s="8"/>
      <c r="C139" s="13"/>
      <c r="D139" s="8"/>
      <c r="E139" s="8"/>
      <c r="J139" s="14"/>
      <c r="K139" s="15" t="s">
        <v>24</v>
      </c>
      <c r="L139" s="8"/>
      <c r="M139" s="11">
        <f>SUM(M138:M138)</f>
        <v>1733</v>
      </c>
      <c r="N139" s="14"/>
      <c r="O139" s="14"/>
    </row>
    <row r="140" spans="1:74">
      <c r="A140" s="8" t="s">
        <v>156</v>
      </c>
      <c r="B140" s="8" t="s">
        <v>43</v>
      </c>
      <c r="C140" s="13">
        <v>510.0</v>
      </c>
      <c r="D140" s="8" t="s">
        <v>27</v>
      </c>
      <c r="E140" s="8" t="s">
        <v>157</v>
      </c>
      <c r="F140" s="9">
        <v>45631.0</v>
      </c>
      <c r="G140" s="9">
        <v>46027.0</v>
      </c>
      <c r="H140" s="9">
        <v>46507.0</v>
      </c>
      <c r="J140" s="14">
        <v>1414.0</v>
      </c>
      <c r="K140" s="8" t="s">
        <v>8</v>
      </c>
      <c r="L140" s="8" t="s">
        <v>23</v>
      </c>
      <c r="M140" s="14">
        <v>1308.0</v>
      </c>
      <c r="N140" s="14">
        <v>0.0</v>
      </c>
      <c r="O140" s="14">
        <v>500.0</v>
      </c>
    </row>
    <row r="141" spans="1:74">
      <c r="B141" s="8"/>
      <c r="C141" s="13"/>
      <c r="D141" s="8"/>
      <c r="E141" s="8"/>
      <c r="J141" s="14"/>
      <c r="K141" s="15" t="s">
        <v>24</v>
      </c>
      <c r="L141" s="8"/>
      <c r="M141" s="11">
        <f>SUM(M140:M140)</f>
        <v>1308</v>
      </c>
      <c r="N141" s="14"/>
      <c r="O141" s="14"/>
    </row>
    <row r="142" spans="1:74">
      <c r="A142" s="8" t="s">
        <v>158</v>
      </c>
      <c r="B142" s="8" t="s">
        <v>159</v>
      </c>
      <c r="C142" s="13">
        <v>801.0</v>
      </c>
      <c r="D142" s="8" t="s">
        <v>27</v>
      </c>
      <c r="E142" s="8" t="s">
        <v>160</v>
      </c>
      <c r="F142" s="9">
        <v>45528.0</v>
      </c>
      <c r="G142" s="9">
        <v>45924.0</v>
      </c>
      <c r="J142" s="14">
        <v>2193.0</v>
      </c>
      <c r="K142" s="8" t="s">
        <v>8</v>
      </c>
      <c r="L142" s="8" t="s">
        <v>23</v>
      </c>
      <c r="M142" s="14">
        <v>2192.0</v>
      </c>
      <c r="N142" s="14">
        <v>0.0</v>
      </c>
      <c r="O142" s="14">
        <v>500.0</v>
      </c>
    </row>
    <row r="143" spans="1:74">
      <c r="B143" s="8"/>
      <c r="C143" s="13"/>
      <c r="D143" s="8"/>
      <c r="E143" s="8"/>
      <c r="J143" s="14"/>
      <c r="K143" s="8"/>
      <c r="L143" s="8" t="s">
        <v>38</v>
      </c>
      <c r="M143" s="14">
        <v>185.0</v>
      </c>
      <c r="N143" s="14"/>
      <c r="O143" s="14"/>
    </row>
    <row r="144" spans="1:74">
      <c r="B144" s="8"/>
      <c r="C144" s="13"/>
      <c r="D144" s="8"/>
      <c r="E144" s="8"/>
      <c r="J144" s="14"/>
      <c r="K144" s="15" t="s">
        <v>24</v>
      </c>
      <c r="L144" s="8"/>
      <c r="M144" s="11">
        <f>SUM(M142:M143)</f>
        <v>2377</v>
      </c>
      <c r="N144" s="14"/>
      <c r="O144" s="14"/>
    </row>
    <row r="145" spans="1:74">
      <c r="A145" s="8" t="s">
        <v>161</v>
      </c>
      <c r="B145" s="8" t="s">
        <v>162</v>
      </c>
      <c r="C145" s="13">
        <v>966.0</v>
      </c>
      <c r="D145" s="8" t="s">
        <v>27</v>
      </c>
      <c r="E145" s="8" t="s">
        <v>163</v>
      </c>
      <c r="F145" s="9">
        <v>45716.0</v>
      </c>
      <c r="G145" s="9">
        <v>46113.0</v>
      </c>
      <c r="H145" s="9">
        <v>46477.0</v>
      </c>
      <c r="J145" s="14">
        <v>2317.0</v>
      </c>
      <c r="K145" s="8" t="s">
        <v>8</v>
      </c>
      <c r="L145" s="8" t="s">
        <v>23</v>
      </c>
      <c r="M145" s="14">
        <v>2241.0</v>
      </c>
      <c r="N145" s="14">
        <v>0.0</v>
      </c>
      <c r="O145" s="14">
        <v>300.0</v>
      </c>
    </row>
    <row r="146" spans="1:74">
      <c r="B146" s="8"/>
      <c r="C146" s="13"/>
      <c r="D146" s="8"/>
      <c r="E146" s="8"/>
      <c r="J146" s="14"/>
      <c r="K146" s="15" t="s">
        <v>24</v>
      </c>
      <c r="L146" s="8"/>
      <c r="M146" s="11">
        <f>SUM(M145:M145)</f>
        <v>2241</v>
      </c>
      <c r="N146" s="14"/>
      <c r="O146" s="14"/>
    </row>
    <row r="147" spans="1:74">
      <c r="A147" s="8" t="s">
        <v>164</v>
      </c>
      <c r="B147" s="8" t="s">
        <v>165</v>
      </c>
      <c r="C147" s="13">
        <v>788.0</v>
      </c>
      <c r="D147" s="8" t="s">
        <v>166</v>
      </c>
      <c r="E147" s="8" t="s">
        <v>134</v>
      </c>
      <c r="J147" s="14">
        <v>2218.0</v>
      </c>
      <c r="K147" s="8" t="s">
        <v>135</v>
      </c>
      <c r="L147" s="8" t="s">
        <v>135</v>
      </c>
      <c r="M147" s="14">
        <v>0.0</v>
      </c>
      <c r="N147" s="14"/>
      <c r="O147" s="14">
        <v>0.0</v>
      </c>
    </row>
    <row r="148" spans="1:74">
      <c r="B148" s="8"/>
      <c r="C148" s="13"/>
      <c r="D148" s="8"/>
      <c r="E148" s="8"/>
      <c r="J148" s="14"/>
      <c r="K148" s="15" t="s">
        <v>24</v>
      </c>
      <c r="L148" s="8"/>
      <c r="M148" s="11">
        <f>SUM(M147:M147)</f>
        <v>0</v>
      </c>
      <c r="N148" s="14"/>
      <c r="O148" s="14"/>
    </row>
    <row r="149" spans="1:74">
      <c r="A149" s="8" t="s">
        <v>167</v>
      </c>
      <c r="B149" s="8" t="s">
        <v>59</v>
      </c>
      <c r="C149" s="13">
        <v>462.0</v>
      </c>
      <c r="D149" s="8" t="s">
        <v>27</v>
      </c>
      <c r="E149" s="8" t="s">
        <v>168</v>
      </c>
      <c r="F149" s="9">
        <v>45533.0</v>
      </c>
      <c r="G149" s="9">
        <v>45898.0</v>
      </c>
      <c r="H149" s="9">
        <v>46354.0</v>
      </c>
      <c r="J149" s="14">
        <v>1212.0</v>
      </c>
      <c r="K149" s="8" t="s">
        <v>8</v>
      </c>
      <c r="L149" s="8" t="s">
        <v>23</v>
      </c>
      <c r="M149" s="14">
        <v>1335.0</v>
      </c>
      <c r="N149" s="14">
        <v>-1411.27</v>
      </c>
      <c r="O149" s="14">
        <v>300.0</v>
      </c>
    </row>
    <row r="150" spans="1:74">
      <c r="B150" s="8"/>
      <c r="C150" s="13"/>
      <c r="D150" s="8"/>
      <c r="E150" s="8"/>
      <c r="J150" s="14"/>
      <c r="K150" s="15" t="s">
        <v>24</v>
      </c>
      <c r="L150" s="8"/>
      <c r="M150" s="11">
        <f>SUM(M149:M149)</f>
        <v>1335</v>
      </c>
      <c r="O150" s="14"/>
    </row>
    <row r="151" spans="1:74">
      <c r="A151" s="8" t="s">
        <v>169</v>
      </c>
      <c r="B151" s="8" t="s">
        <v>170</v>
      </c>
      <c r="C151" s="13">
        <v>775.0</v>
      </c>
      <c r="D151" s="8" t="s">
        <v>133</v>
      </c>
      <c r="E151" s="8" t="s">
        <v>134</v>
      </c>
      <c r="J151" s="14">
        <v>2142.0</v>
      </c>
      <c r="K151" s="8" t="s">
        <v>135</v>
      </c>
      <c r="L151" s="8" t="s">
        <v>135</v>
      </c>
      <c r="M151" s="14">
        <v>0.0</v>
      </c>
      <c r="O151" s="14">
        <v>0.0</v>
      </c>
    </row>
    <row r="152" spans="1:74">
      <c r="K152" s="10" t="s">
        <v>24</v>
      </c>
      <c r="M152" s="11">
        <f>SUM(M151:M151)</f>
        <v>0</v>
      </c>
    </row>
    <row r="153" spans="1:74">
      <c r="B153" s="10" t="s">
        <v>171</v>
      </c>
      <c r="C153" s="12">
        <f>SUM(C8:C8)+SUM(C10:C10)+SUM(C12:C12)+SUM(C14:C14)+SUM(C16:C17)+SUM(C19:C19)+SUM(C21:C21)+SUM(C23:C23)+SUM(C25:C26)+SUM(C28:C28)+SUM(C30:C31)+SUM(C33:C34)+SUM(C36:C36)+SUM(C38:C38)+SUM(C40:C42)+SUM(C44:C45)+SUM(C47:C47)+SUM(C49:C50)+SUM(C52:C52)+SUM(C54:C55)+SUM(C57:C57)+SUM(C59:C60)+SUM(C62:C64)+SUM(C66:C66)+SUM(C68:C69)+SUM(C71:C71)+SUM(C73:C73)+SUM(C75:C75)+SUM(C77:C77)+SUM(C79:C79)+SUM(C81:C83)+SUM(C85:C85)+SUM(C87:C87)+SUM(C89:C89)+SUM(C91:C92)+SUM(C94:C94)+SUM(C96:C97)+SUM(C99:C99)+SUM(C101:C101)+SUM(C103:C103)+SUM(C105:C106)+SUM(C108:C109)+SUM(C111:C112)+SUM(C114:C114)+SUM(C116:C116)+SUM(C118:C118)+SUM(C120:C120)+SUM(C122:C122)+SUM(C124:C125)+SUM(C127:C127)+SUM(C129:C129)+SUM(C131:C131)+SUM(C133:C133)+SUM(C135:C136)+SUM(C138:C138)+SUM(C140:C140)+SUM(C142:C143)+SUM(C145:C145)+SUM(C147:C147)+SUM(C149:C149)+SUM(C151:C151)</f>
        <v>33896</v>
      </c>
      <c r="J153" s="11">
        <f>SUM(J8:J8)+SUM(J10:J10)+SUM(J12:J12)+SUM(J14:J14)+SUM(J16:J17)+SUM(J19:J19)+SUM(J21:J21)+SUM(J23:J23)+SUM(J25:J26)+SUM(J28:J28)+SUM(J30:J31)+SUM(J33:J34)+SUM(J36:J36)+SUM(J38:J38)+SUM(J40:J42)+SUM(J44:J45)+SUM(J47:J47)+SUM(J49:J50)+SUM(J52:J52)+SUM(J54:J55)+SUM(J57:J57)+SUM(J59:J60)+SUM(J62:J64)+SUM(J66:J66)+SUM(J68:J69)+SUM(J71:J71)+SUM(J73:J73)+SUM(J75:J75)+SUM(J77:J77)+SUM(J79:J79)+SUM(J81:J83)+SUM(J85:J85)+SUM(J87:J87)+SUM(J89:J89)+SUM(J91:J92)+SUM(J94:J94)+SUM(J96:J97)+SUM(J99:J99)+SUM(J101:J101)+SUM(J103:J103)+SUM(J105:J106)+SUM(J108:J109)+SUM(J111:J112)+SUM(J114:J114)+SUM(J116:J116)+SUM(J118:J118)+SUM(J120:J120)+SUM(J122:J122)+SUM(J124:J125)+SUM(J127:J127)+SUM(J129:J129)+SUM(J131:J131)+SUM(J133:J133)+SUM(J135:J136)+SUM(J138:J138)+SUM(J140:J140)+SUM(J142:J143)+SUM(J145:J145)+SUM(J147:J147)+SUM(J149:J149)+SUM(J151:J151)</f>
        <v>88881</v>
      </c>
      <c r="M153" s="11">
        <f>SUM(M8:M8)+SUM(M10:M10)+SUM(M12:M12)+SUM(M14:M14)+SUM(M16:M17)+SUM(M19:M19)+SUM(M21:M21)+SUM(M23:M23)+SUM(M25:M26)+SUM(M28:M28)+SUM(M30:M31)+SUM(M33:M34)+SUM(M36:M36)+SUM(M38:M38)+SUM(M40:M42)+SUM(M44:M45)+SUM(M47:M47)+SUM(M49:M50)+SUM(M52:M52)+SUM(M54:M55)+SUM(M57:M57)+SUM(M59:M60)+SUM(M62:M64)+SUM(M66:M66)+SUM(M68:M69)+SUM(M71:M71)+SUM(M73:M73)+SUM(M75:M75)+SUM(M77:M77)+SUM(M79:M79)+SUM(M81:M83)+SUM(M85:M85)+SUM(M87:M87)+SUM(M89:M89)+SUM(M91:M92)+SUM(M94:M94)+SUM(M96:M97)+SUM(M99:M99)+SUM(M101:M101)+SUM(M103:M103)+SUM(M105:M106)+SUM(M108:M109)+SUM(M111:M112)+SUM(M114:M114)+SUM(M116:M116)+SUM(M118:M118)+SUM(M120:M120)+SUM(M122:M122)+SUM(M124:M125)+SUM(M127:M127)+SUM(M129:M129)+SUM(M131:M131)+SUM(M133:M133)+SUM(M135:M136)+SUM(M138:M138)+SUM(M140:M140)+SUM(M142:M143)+SUM(M145:M145)+SUM(M147:M147)+SUM(M149:M149)+SUM(M151:M151)</f>
        <v>86379</v>
      </c>
      <c r="N153" s="11">
        <f>SUM(N8:N8)+SUM(N10:N10)+SUM(N12:N12)+SUM(N14:N14)+SUM(N16:N17)+SUM(N19:N19)+SUM(N21:N21)+SUM(N23:N23)+SUM(N25:N26)+SUM(N28:N28)+SUM(N30:N31)+SUM(N33:N34)+SUM(N36:N36)+SUM(N38:N38)+SUM(N40:N42)+SUM(N44:N45)+SUM(N47:N47)+SUM(N49:N50)+SUM(N52:N52)+SUM(N54:N55)+SUM(N57:N57)+SUM(N59:N60)+SUM(N62:N64)+SUM(N66:N66)+SUM(N68:N69)+SUM(N71:N71)+SUM(N73:N73)+SUM(N75:N75)+SUM(N77:N77)+SUM(N79:N79)+SUM(N81:N83)+SUM(N85:N85)+SUM(N87:N87)+SUM(N89:N89)+SUM(N91:N92)+SUM(N94:N94)+SUM(N96:N97)+SUM(N99:N99)+SUM(N101:N101)+SUM(N103:N103)+SUM(N105:N106)+SUM(N108:N109)+SUM(N111:N112)+SUM(N114:N114)+SUM(N116:N116)+SUM(N118:N118)+SUM(N120:N120)+SUM(N122:N122)+SUM(N124:N125)+SUM(N127:N127)+SUM(N129:N129)+SUM(N131:N131)+SUM(N133:N133)+SUM(N135:N136)+SUM(N138:N138)+SUM(N140:N140)+SUM(N142:N143)+SUM(N145:N145)+SUM(N147:N147)+SUM(N149:N149)+SUM(N151:N151)</f>
        <v>-16342.18</v>
      </c>
      <c r="O153" s="11">
        <f>SUM(O8:O8)+SUM(O10:O10)+SUM(O12:O12)+SUM(O14:O14)+SUM(O16:O17)+SUM(O19:O19)+SUM(O21:O21)+SUM(O23:O23)+SUM(O25:O26)+SUM(O28:O28)+SUM(O30:O31)+SUM(O33:O34)+SUM(O36:O36)+SUM(O38:O38)+SUM(O40:O42)+SUM(O44:O45)+SUM(O47:O47)+SUM(O49:O50)+SUM(O52:O52)+SUM(O54:O55)+SUM(O57:O57)+SUM(O59:O60)+SUM(O62:O64)+SUM(O66:O66)+SUM(O68:O69)+SUM(O71:O71)+SUM(O73:O73)+SUM(O75:O75)+SUM(O77:O77)+SUM(O79:O79)+SUM(O81:O83)+SUM(O85:O85)+SUM(O87:O87)+SUM(O89:O89)+SUM(O91:O92)+SUM(O94:O94)+SUM(O96:O97)+SUM(O99:O99)+SUM(O101:O101)+SUM(O103:O103)+SUM(O105:O106)+SUM(O108:O109)+SUM(O111:O112)+SUM(O114:O114)+SUM(O116:O116)+SUM(O118:O118)+SUM(O120:O120)+SUM(O122:O122)+SUM(O124:O125)+SUM(O127:O127)+SUM(O129:O129)+SUM(O131:O131)+SUM(O133:O133)+SUM(O135:O136)+SUM(O138:O138)+SUM(O140:O140)+SUM(O142:O143)+SUM(O145:O145)+SUM(O147:O147)+SUM(O149:O149)+SUM(O151:O151)</f>
        <v>20790</v>
      </c>
    </row>
    <row r="155" spans="1:74">
      <c r="A155" s="3" t="s">
        <v>172</v>
      </c>
      <c r="D155" s="3" t="s">
        <v>193</v>
      </c>
    </row>
    <row r="156" spans="1:74">
      <c r="A156" s="4" t="s">
        <v>173</v>
      </c>
      <c r="B156" s="5" t="s">
        <v>174</v>
      </c>
      <c r="C156" s="16" t="s">
        <v>175</v>
      </c>
      <c r="D156" s="4" t="s">
        <v>15</v>
      </c>
      <c r="E156" s="7" t="s">
        <v>194</v>
      </c>
      <c r="F156" s="4" t="s">
        <v>195</v>
      </c>
      <c r="Q156" s="17" t="s">
        <v>176</v>
      </c>
      <c r="R156" s="17" t="s">
        <v>177</v>
      </c>
      <c r="S156" s="18" t="s">
        <v>178</v>
      </c>
      <c r="T156" s="19" t="s">
        <v>179</v>
      </c>
      <c r="U156" s="19" t="s">
        <v>180</v>
      </c>
      <c r="V156" s="18" t="s">
        <v>181</v>
      </c>
      <c r="W156" s="18" t="s">
        <v>182</v>
      </c>
      <c r="X156" s="18" t="s">
        <v>183</v>
      </c>
      <c r="Y156" s="18" t="s">
        <v>184</v>
      </c>
      <c r="Z156" s="18" t="s">
        <v>185</v>
      </c>
      <c r="AA156" s="18" t="s">
        <v>186</v>
      </c>
      <c r="AB156" s="18" t="s">
        <v>187</v>
      </c>
    </row>
    <row r="157" spans="1:74">
      <c r="A157" s="20" t="s">
        <v>27</v>
      </c>
      <c r="B157" s="13">
        <v>54.0</v>
      </c>
      <c r="C157" s="25">
        <v>0.88524590163934</v>
      </c>
      <c r="D157" s="15" t="s">
        <v>196</v>
      </c>
      <c r="Q157" s="14">
        <v>77566.0</v>
      </c>
      <c r="R157" s="14">
        <v>2765.0</v>
      </c>
      <c r="S157" s="13">
        <v>100017.0</v>
      </c>
      <c r="T157" s="8" t="s">
        <v>188</v>
      </c>
      <c r="U157" s="8" t="s">
        <v>27</v>
      </c>
      <c r="V157" s="13">
        <v>54.0</v>
      </c>
      <c r="W157" s="13">
        <v>61.0</v>
      </c>
      <c r="X157" s="13">
        <v>0.0</v>
      </c>
      <c r="Y157" s="13">
        <v>3.0</v>
      </c>
      <c r="Z157" s="13">
        <v>0.88524590163934</v>
      </c>
      <c r="AA157" s="13">
        <v>0.0</v>
      </c>
      <c r="AB157" s="13">
        <v>3.0</v>
      </c>
    </row>
    <row r="158" spans="1:74">
      <c r="A158" s="20" t="s">
        <v>128</v>
      </c>
      <c r="B158" s="13">
        <v>1.0</v>
      </c>
      <c r="C158" s="25">
        <v>0.016393442622951</v>
      </c>
      <c r="D158" s="8" t="s">
        <v>38</v>
      </c>
      <c r="E158" s="14">
        <v>2590.0</v>
      </c>
      <c r="F158" s="8" t="s">
        <v>197</v>
      </c>
      <c r="Q158" s="14">
        <v>1445.0</v>
      </c>
      <c r="R158" s="14">
        <v>0.0</v>
      </c>
      <c r="S158" s="13">
        <v>100017.0</v>
      </c>
      <c r="T158" s="8" t="s">
        <v>188</v>
      </c>
      <c r="U158" s="8" t="s">
        <v>128</v>
      </c>
      <c r="V158" s="13">
        <v>1.0</v>
      </c>
      <c r="W158" s="13">
        <v>61.0</v>
      </c>
      <c r="X158" s="13">
        <v>0.0</v>
      </c>
      <c r="Y158" s="13">
        <v>3.0</v>
      </c>
      <c r="Z158" s="13">
        <v>0.016393442622951</v>
      </c>
      <c r="AA158" s="13">
        <v>0.0</v>
      </c>
      <c r="AB158" s="13">
        <v>5.0</v>
      </c>
    </row>
    <row r="159" spans="1:74">
      <c r="A159" s="20" t="s">
        <v>21</v>
      </c>
      <c r="B159" s="13">
        <v>3.0</v>
      </c>
      <c r="C159" s="25">
        <v>0.049180327868852</v>
      </c>
      <c r="D159" s="8" t="s">
        <v>51</v>
      </c>
      <c r="E159" s="14">
        <v>360.0</v>
      </c>
      <c r="F159" s="8" t="s">
        <v>197</v>
      </c>
      <c r="Q159" s="14">
        <v>4418.0</v>
      </c>
      <c r="R159" s="14">
        <v>185.0</v>
      </c>
      <c r="S159" s="13">
        <v>100017.0</v>
      </c>
      <c r="T159" s="8" t="s">
        <v>188</v>
      </c>
      <c r="U159" s="8" t="s">
        <v>21</v>
      </c>
      <c r="V159" s="13">
        <v>3.0</v>
      </c>
      <c r="W159" s="13">
        <v>61.0</v>
      </c>
      <c r="X159" s="13">
        <v>0.0</v>
      </c>
      <c r="Y159" s="13">
        <v>3.0</v>
      </c>
      <c r="Z159" s="13">
        <v>0.049180327868852</v>
      </c>
      <c r="AA159" s="13">
        <v>0.0</v>
      </c>
      <c r="AB159" s="13">
        <v>9.0</v>
      </c>
    </row>
    <row r="160" spans="1:74">
      <c r="A160" s="10" t="s">
        <v>189</v>
      </c>
      <c r="B160" s="21">
        <f>SUM(B157:B159)</f>
        <v>58</v>
      </c>
      <c r="C160" s="22">
        <v>0.95081967213115</v>
      </c>
      <c r="D160" s="8" t="s">
        <v>23</v>
      </c>
      <c r="E160" s="14">
        <v>83429.0</v>
      </c>
      <c r="F160" s="8" t="s">
        <v>198</v>
      </c>
      <c r="Q160" s="23">
        <f>SUM(Q157:Q159)</f>
        <v>83429</v>
      </c>
      <c r="R160" s="23">
        <f>SUM(R157:R159)</f>
        <v>2950</v>
      </c>
      <c r="S160" s="13"/>
      <c r="T160" s="8"/>
      <c r="U160" s="8"/>
      <c r="V160" s="13"/>
      <c r="W160" s="13"/>
      <c r="X160" s="13"/>
      <c r="Y160" s="13"/>
      <c r="Z160" s="13"/>
      <c r="AA160" s="13"/>
      <c r="AB160" s="13"/>
    </row>
    <row r="161" spans="1:74">
      <c r="A161" s="20" t="s">
        <v>166</v>
      </c>
      <c r="B161" s="13">
        <v>1.0</v>
      </c>
      <c r="C161" s="25">
        <v>0.016393442622951</v>
      </c>
      <c r="D161" s="10" t="s">
        <v>199</v>
      </c>
      <c r="E161" s="11">
        <f>SUM(E158:E160)</f>
        <v>86379</v>
      </c>
      <c r="Q161" s="14">
        <v>0.0</v>
      </c>
      <c r="R161" s="14">
        <v>0.0</v>
      </c>
      <c r="S161" s="13">
        <v>100017.0</v>
      </c>
      <c r="T161" s="8" t="s">
        <v>190</v>
      </c>
      <c r="U161" s="8" t="s">
        <v>166</v>
      </c>
      <c r="V161" s="13">
        <v>1.0</v>
      </c>
      <c r="W161" s="13">
        <v>61.0</v>
      </c>
      <c r="X161" s="13">
        <v>0.0</v>
      </c>
      <c r="Y161" s="13">
        <v>3.0</v>
      </c>
      <c r="Z161" s="13">
        <v>0.016393442622951</v>
      </c>
      <c r="AA161" s="13">
        <v>0.0</v>
      </c>
      <c r="AB161" s="13">
        <v>2.0</v>
      </c>
    </row>
    <row r="162" spans="1:74">
      <c r="A162" s="20" t="s">
        <v>133</v>
      </c>
      <c r="B162" s="13">
        <v>2.0</v>
      </c>
      <c r="C162" s="25">
        <v>0.032786885245902</v>
      </c>
      <c r="D162" s="10" t="s">
        <v>200</v>
      </c>
      <c r="E162" s="11">
        <f>SUM(E158:E160)</f>
        <v>86379</v>
      </c>
      <c r="Q162" s="14">
        <v>0.0</v>
      </c>
      <c r="R162" s="14">
        <v>0.0</v>
      </c>
      <c r="S162" s="13">
        <v>100017.0</v>
      </c>
      <c r="T162" s="8" t="s">
        <v>190</v>
      </c>
      <c r="U162" s="8" t="s">
        <v>133</v>
      </c>
      <c r="V162" s="13">
        <v>2.0</v>
      </c>
      <c r="W162" s="13">
        <v>61.0</v>
      </c>
      <c r="X162" s="13">
        <v>0.0</v>
      </c>
      <c r="Y162" s="13">
        <v>3.0</v>
      </c>
      <c r="Z162" s="13">
        <v>0.032786885245902</v>
      </c>
      <c r="AA162" s="13">
        <v>0.0</v>
      </c>
      <c r="AB162" s="13">
        <v>4.0</v>
      </c>
    </row>
    <row r="163" spans="1:74">
      <c r="A163" s="10" t="s">
        <v>191</v>
      </c>
      <c r="B163" s="21">
        <f>SUM(B161:B162)</f>
        <v>3</v>
      </c>
      <c r="C163" s="22">
        <v>0.049180327868852</v>
      </c>
      <c r="Q163" s="23">
        <f>SUM(Q161:Q162)</f>
        <v>0</v>
      </c>
      <c r="R163" s="23">
        <f>SUM(R161:R162)</f>
        <v>0</v>
      </c>
    </row>
    <row r="164" spans="1:74">
      <c r="A164" s="10" t="s">
        <v>192</v>
      </c>
      <c r="B164" s="12">
        <f>SUM(B157:B159)+SUM(B161:B162)</f>
        <v>61</v>
      </c>
      <c r="C164" s="24">
        <v>1.0</v>
      </c>
      <c r="Q164" s="11">
        <f>SUM(Q157:Q159)+SUM(Q161:Q162)</f>
        <v>83429</v>
      </c>
      <c r="R164" s="11">
        <f>SUM(R157:R159)+SUM(R161:R162)</f>
        <v>2950</v>
      </c>
    </row>
    <row r="166" spans="1:74">
      <c r="A166" s="3" t="s">
        <v>201</v>
      </c>
    </row>
    <row r="167" spans="1:74">
      <c r="A167" s="4" t="s">
        <v>4</v>
      </c>
      <c r="B167" s="4" t="s">
        <v>5</v>
      </c>
      <c r="C167" s="5" t="s">
        <v>6</v>
      </c>
      <c r="D167" s="4" t="s">
        <v>7</v>
      </c>
      <c r="E167" s="4" t="s">
        <v>8</v>
      </c>
      <c r="F167" s="6" t="s">
        <v>9</v>
      </c>
      <c r="G167" s="6" t="s">
        <v>10</v>
      </c>
      <c r="H167" s="6" t="s">
        <v>11</v>
      </c>
      <c r="I167" s="7" t="s">
        <v>13</v>
      </c>
      <c r="J167" s="4" t="s">
        <v>14</v>
      </c>
      <c r="K167" s="4" t="s">
        <v>15</v>
      </c>
      <c r="L167" s="7" t="s">
        <v>202</v>
      </c>
      <c r="M167" s="7" t="s">
        <v>16</v>
      </c>
      <c r="N167" s="7" t="s">
        <v>17</v>
      </c>
      <c r="O167" s="7" t="s">
        <v>18</v>
      </c>
    </row>
    <row r="168" spans="1:74">
      <c r="A168" s="8" t="s">
        <v>203</v>
      </c>
    </row>
  </sheetData>
  <mergeCells>
    <mergeCell ref="A2:O2"/>
    <mergeCell ref="A3:O3"/>
    <mergeCell ref="A4:O4"/>
    <mergeCell ref="A6:O6"/>
    <mergeCell ref="A155:C155"/>
    <mergeCell ref="D155:F155"/>
    <mergeCell ref="D157:F157"/>
    <mergeCell ref="A166:O166"/>
  </mergeCells>
  <printOptions gridLines="false" gridLinesSet="true" horizontalCentered="true"/>
  <pageMargins left="0.5" right="0.5" top="0.5" bottom="0.5" header="0.25" footer="0.25"/>
  <pageSetup paperSize="1" orientation="portrait" scale="100" fitToHeight="0" fitToWidth="1" pageOrder="downThenOver"/>
  <headerFooter differentOddEven="false" differentFirst="false" scaleWithDoc="true" alignWithMargins="true">
    <oddHeader>&amp;L Rent Roll w/ Lease Charges</oddHeader>
    <oddFooter>&amp;L Page &amp;P of &amp;N &amp;R &amp;I Rent Roll 4.2 generated04/30/2026 at 10:40pm PDT&amp;I</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26"/>
  <sheetViews>
    <sheetView tabSelected="0" workbookViewId="0" showGridLines="true" showRowColHeaders="1">
      <selection activeCell="B26" sqref="B26"/>
    </sheetView>
  </sheetViews>
  <sheetFormatPr defaultRowHeight="14.4" outlineLevelRow="0" outlineLevelCol="0"/>
  <cols>
    <col min="1" max="1" width="20" customWidth="true" style="0"/>
    <col min="2" max="2" width="80" customWidth="true" style="0"/>
  </cols>
  <sheetData>
    <row r="1" spans="1:2">
      <c r="A1" s="26" t="s">
        <v>204</v>
      </c>
    </row>
    <row r="2" spans="1:2">
      <c r="A2" s="26" t="s">
        <v>205</v>
      </c>
    </row>
    <row r="4" spans="1:2">
      <c r="A4" s="27" t="s">
        <v>206</v>
      </c>
      <c r="B4" s="28" t="s">
        <v>204</v>
      </c>
    </row>
    <row r="5" spans="1:2">
      <c r="A5" s="27" t="s">
        <v>207</v>
      </c>
      <c r="B5" s="28">
        <v>4.2</v>
      </c>
    </row>
    <row r="6" spans="1:2">
      <c r="A6" s="27" t="s">
        <v>208</v>
      </c>
      <c r="B6" s="28" t="s">
        <v>1</v>
      </c>
    </row>
    <row r="7" spans="1:2">
      <c r="A7" s="27" t="s">
        <v>209</v>
      </c>
      <c r="B7" s="28" t="s">
        <v>210</v>
      </c>
    </row>
    <row r="8" spans="1:2">
      <c r="A8" s="27" t="s">
        <v>211</v>
      </c>
      <c r="B8" s="28" t="s">
        <v>212</v>
      </c>
    </row>
    <row r="9" spans="1:2">
      <c r="A9" s="27" t="s">
        <v>213</v>
      </c>
      <c r="B9" s="28" t="s">
        <v>214</v>
      </c>
    </row>
    <row r="10" spans="1:2">
      <c r="A10" s="27" t="s">
        <v>215</v>
      </c>
      <c r="B10" s="28" t="s">
        <v>216</v>
      </c>
    </row>
    <row r="11" spans="1:2">
      <c r="A11" s="27" t="s">
        <v>217</v>
      </c>
      <c r="B11" s="28" t="s">
        <v>15</v>
      </c>
    </row>
    <row r="12" spans="1:2">
      <c r="A12" s="27" t="s">
        <v>218</v>
      </c>
      <c r="B12" s="28" t="s">
        <v>219</v>
      </c>
    </row>
    <row r="13" spans="1:2">
      <c r="A13" s="27" t="s">
        <v>7</v>
      </c>
      <c r="B13" s="28" t="s">
        <v>220</v>
      </c>
    </row>
    <row r="14" spans="1:2">
      <c r="A14" s="27" t="s">
        <v>221</v>
      </c>
      <c r="B14" s="28" t="s">
        <v>219</v>
      </c>
    </row>
    <row r="15" spans="1:2">
      <c r="A15" s="27" t="s">
        <v>222</v>
      </c>
      <c r="B15" s="28" t="s">
        <v>223</v>
      </c>
    </row>
    <row r="16" spans="1:2">
      <c r="A16" s="27" t="s">
        <v>224</v>
      </c>
      <c r="B16" s="28" t="s">
        <v>225</v>
      </c>
    </row>
    <row r="17" spans="1:2">
      <c r="A17" s="27" t="s">
        <v>226</v>
      </c>
      <c r="B17" s="28" t="s">
        <v>227</v>
      </c>
    </row>
    <row r="18" spans="1:2">
      <c r="A18" s="27" t="s">
        <v>228</v>
      </c>
      <c r="B18" s="28" t="s">
        <v>219</v>
      </c>
    </row>
    <row r="19" spans="1:2">
      <c r="A19" s="27" t="s">
        <v>229</v>
      </c>
      <c r="B19" s="28" t="s">
        <v>230</v>
      </c>
    </row>
    <row r="20" spans="1:2">
      <c r="A20" s="27" t="s">
        <v>231</v>
      </c>
      <c r="B20" s="28" t="s">
        <v>223</v>
      </c>
    </row>
    <row r="21" spans="1:2">
      <c r="A21" s="27" t="s">
        <v>232</v>
      </c>
      <c r="B21" s="28" t="s">
        <v>219</v>
      </c>
    </row>
    <row r="22" spans="1:2">
      <c r="A22" s="27" t="s">
        <v>233</v>
      </c>
      <c r="B22" s="28" t="s">
        <v>234</v>
      </c>
    </row>
    <row r="23" spans="1:2">
      <c r="A23" s="27" t="s">
        <v>235</v>
      </c>
      <c r="B23" s="28" t="s">
        <v>236</v>
      </c>
    </row>
    <row r="25" spans="1:2">
      <c r="A25" s="27" t="s">
        <v>237</v>
      </c>
      <c r="B25" s="28" t="s">
        <v>238</v>
      </c>
    </row>
    <row r="26" spans="1:2">
      <c r="A26" s="27" t="s">
        <v>239</v>
      </c>
      <c r="B26" s="28" t="s">
        <v>238</v>
      </c>
    </row>
  </sheetData>
  <mergeCells>
    <mergeCell ref="A1:B1"/>
    <mergeCell ref="A2:B2"/>
  </mergeCell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Rent Roll</vt:lpstr>
      <vt:lpstr>Report Parameters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2026-04-30T23:41:58-06:00</dcterms:created>
  <dcterms:modified xsi:type="dcterms:W3CDTF">2026-04-30T23:41:58-06:00</dcterms:modified>
  <dc:title>Untitled Spreadsheet</dc:title>
  <dc:description/>
  <dc:subject/>
  <cp:keywords/>
  <cp:category/>
</cp:coreProperties>
</file>