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ome Statement" sheetId="1" r:id="rId4"/>
    <sheet name="Report Parameters" sheetId="2" r:id="rId5"/>
  </sheets>
  <definedNames>
    <definedName name="_xlnm.Print_Titles" localSheetId="0">'Income Statement'!$6:$6</definedName>
    <definedName name="_xlnm.Print_Area" localSheetId="1">'Report Parameters'!$A$1:$B$32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<sst xmlns="http://schemas.openxmlformats.org/spreadsheetml/2006/main" uniqueCount="375">
  <si>
    <t>Income Statement - Trailing 12</t>
  </si>
  <si>
    <t>The Lower Burnside Lofts</t>
  </si>
  <si>
    <t>Accrual Basis</t>
  </si>
  <si>
    <t>May 2025 - Apr 2026</t>
  </si>
  <si>
    <t>Account</t>
  </si>
  <si>
    <t>Account Name</t>
  </si>
  <si>
    <t>Income Statement: GL Account Type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</si>
  <si>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</si>
  <si>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</si>
  <si>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</si>
  <si>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</si>
  <si>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</si>
  <si>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</si>
  <si>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</si>
  <si>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</si>
  <si>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</si>
  <si>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</si>
  <si>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</si>
  <si>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</si>
  <si>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Total</t>
  </si>
  <si>
    <t>YTD</t>
  </si>
  <si>
    <t>Income Statement: Property</t>
  </si>
  <si>
    <t>Income Statement: Property Look-Up Code</t>
  </si>
  <si>
    <t>Income Statement: Unit Count</t>
  </si>
  <si>
    <t>Income Statement: 0</t>
  </si>
  <si>
    <t>Income Statement: 1</t>
  </si>
  <si>
    <t>Income Statement: 2</t>
  </si>
  <si>
    <t>Income Statement: 3</t>
  </si>
  <si>
    <t>Income Statement: 4</t>
  </si>
  <si>
    <t>Income Statement: 5</t>
  </si>
  <si>
    <t>Income Statement: 6</t>
  </si>
  <si>
    <t>Income Statement: 7</t>
  </si>
  <si>
    <t>Income Statement: 8</t>
  </si>
  <si>
    <t>Income Statement: 9</t>
  </si>
  <si>
    <t>Income Statement: 10</t>
  </si>
  <si>
    <t>Income Statement: 11</t>
  </si>
  <si>
    <t>Income Statement: 12</t>
  </si>
  <si>
    <t>Income Statement: 13</t>
  </si>
  <si>
    <t>Income Statement: 15</t>
  </si>
  <si>
    <t>Income Statement: 18</t>
  </si>
  <si>
    <t>Income Statement: 21</t>
  </si>
  <si>
    <t>Income Statement: 23</t>
  </si>
  <si>
    <t>Income Statement: 27</t>
  </si>
  <si>
    <t>Income Statement: 30</t>
  </si>
  <si>
    <t>Income Statement: 31</t>
  </si>
  <si>
    <t>Income Statement: 36</t>
  </si>
  <si>
    <t>Income Statement: 41</t>
  </si>
  <si>
    <t>Income Statement: 42</t>
  </si>
  <si>
    <t>Income Statement: Month 1 Change Sign</t>
  </si>
  <si>
    <t>Income Statement: Month 2 Change Sign</t>
  </si>
  <si>
    <t>Income Statement: Month 3 Change Sign</t>
  </si>
  <si>
    <t>Income Statement: Month 4 Change Sign</t>
  </si>
  <si>
    <t>Income Statement: Month 5 Change Sign</t>
  </si>
  <si>
    <t>Income Statement: Month 6 Change Sign</t>
  </si>
  <si>
    <t>Income Statement: Month 7 Change Sign</t>
  </si>
  <si>
    <t>Income Statement: Month 8 Change Sign</t>
  </si>
  <si>
    <t>Income Statement: 50</t>
  </si>
  <si>
    <t>Income Statement: Month 9 Change Sign</t>
  </si>
  <si>
    <t>Income Statement: 51</t>
  </si>
  <si>
    <t>Income Statement: Month 10 Change Sign</t>
  </si>
  <si>
    <t>Income Statement: Month 11 Change Sign</t>
  </si>
  <si>
    <t>Income Statement: Month 12 Change Sign</t>
  </si>
  <si>
    <t>Income Statement: Total Change Sign</t>
  </si>
  <si>
    <t>Income Statement: Ytd Total Change Sign</t>
  </si>
  <si>
    <t>Income</t>
  </si>
  <si>
    <t>Net Rental Income</t>
  </si>
  <si>
    <t>4010.5</t>
  </si>
  <si>
    <t>Gross Potential Rent</t>
  </si>
  <si>
    <t>Net Profit (Loss)|Net Operating Income|Income|Net Rental Income</t>
  </si>
  <si>
    <t>00000|00000|00000|00000</t>
  </si>
  <si>
    <t>4|4|4|4</t>
  </si>
  <si>
    <t>4020.2</t>
  </si>
  <si>
    <t>Vacancy Loss</t>
  </si>
  <si>
    <t>4020.4</t>
  </si>
  <si>
    <t>Loss/Gain on Lease</t>
  </si>
  <si>
    <t>4020.6</t>
  </si>
  <si>
    <t>Delinquent Account</t>
  </si>
  <si>
    <t>4040.0</t>
  </si>
  <si>
    <t>Prepaid Rent</t>
  </si>
  <si>
    <t>4050.0</t>
  </si>
  <si>
    <t>Parking/Garage Rent</t>
  </si>
  <si>
    <t>4070.0</t>
  </si>
  <si>
    <t>Pet Rent - Monthly</t>
  </si>
  <si>
    <t>4210.0</t>
  </si>
  <si>
    <t>Less: Concessions</t>
  </si>
  <si>
    <t>4240.0</t>
  </si>
  <si>
    <t>Less: Employee Discounts</t>
  </si>
  <si>
    <t>4290.0</t>
  </si>
  <si>
    <t>Less: Bad Debt</t>
  </si>
  <si>
    <t>4291.0</t>
  </si>
  <si>
    <t>Bad Debt Recovery</t>
  </si>
  <si>
    <t>Utilities Income</t>
  </si>
  <si>
    <t>4660.0</t>
  </si>
  <si>
    <t>Equipment and Furniture Rental</t>
  </si>
  <si>
    <t>Net Profit (Loss)|Net Operating Income|Income|Utilities Income</t>
  </si>
  <si>
    <t>00000|00000|00000|00002</t>
  </si>
  <si>
    <t>4670.2</t>
  </si>
  <si>
    <t>Natural Gas Reimbursement</t>
  </si>
  <si>
    <t>4670.4</t>
  </si>
  <si>
    <t>Water and Sewer Reimbursement</t>
  </si>
  <si>
    <t>4670.6</t>
  </si>
  <si>
    <t>Trash Reimbursement</t>
  </si>
  <si>
    <t>4670.7</t>
  </si>
  <si>
    <t>Utility admin fee</t>
  </si>
  <si>
    <t>Other Income</t>
  </si>
  <si>
    <t>4510.0</t>
  </si>
  <si>
    <t>Application Fee</t>
  </si>
  <si>
    <t>Net Profit (Loss)|Net Operating Income|Income|Other Income</t>
  </si>
  <si>
    <t>00000|00000|00000|00003</t>
  </si>
  <si>
    <t>4530.0</t>
  </si>
  <si>
    <t>Late Fee</t>
  </si>
  <si>
    <t>4540.0</t>
  </si>
  <si>
    <t>NSF Fee</t>
  </si>
  <si>
    <t>4570.0</t>
  </si>
  <si>
    <t>Turnover Expense Reimbursement</t>
  </si>
  <si>
    <t>4580.0</t>
  </si>
  <si>
    <t>Deposit Forfeiture</t>
  </si>
  <si>
    <t>4590.0</t>
  </si>
  <si>
    <t>Lease Termination Fee</t>
  </si>
  <si>
    <t>4610.0</t>
  </si>
  <si>
    <t>Pet Fee</t>
  </si>
  <si>
    <t>4620.0</t>
  </si>
  <si>
    <t>Laundry Income</t>
  </si>
  <si>
    <t>4680.0</t>
  </si>
  <si>
    <t>Other Receipts</t>
  </si>
  <si>
    <t>4780.0</t>
  </si>
  <si>
    <t>Rent Reporting Income</t>
  </si>
  <si>
    <t>4800.0</t>
  </si>
  <si>
    <t>Non-compliance Fee</t>
  </si>
  <si>
    <t>Operating Expenses</t>
  </si>
  <si>
    <t>Wages Taxes and Benefits</t>
  </si>
  <si>
    <t>5020.0</t>
  </si>
  <si>
    <t>Wages - On-site Employees</t>
  </si>
  <si>
    <t>Net Profit (Loss)|Net Operating Income|Operating Expenses|Wages Taxes and Benefits</t>
  </si>
  <si>
    <t>00000|00000|00001|00000</t>
  </si>
  <si>
    <t>4|4|5|5</t>
  </si>
  <si>
    <t>5040.0</t>
  </si>
  <si>
    <t>Wages - Maint and Janitorial</t>
  </si>
  <si>
    <t>5080.0</t>
  </si>
  <si>
    <t>Wages - Other</t>
  </si>
  <si>
    <t>5110.0</t>
  </si>
  <si>
    <t>Bonuses</t>
  </si>
  <si>
    <t>5210.0</t>
  </si>
  <si>
    <t>Payroll Taxes</t>
  </si>
  <si>
    <t>5220.0</t>
  </si>
  <si>
    <t>Employee Medical Premiums</t>
  </si>
  <si>
    <t>5240.0</t>
  </si>
  <si>
    <t>Employer 401(k) Match</t>
  </si>
  <si>
    <t>6460.0</t>
  </si>
  <si>
    <t>Mobile Phones</t>
  </si>
  <si>
    <t>6610.0</t>
  </si>
  <si>
    <t>Payroll Service</t>
  </si>
  <si>
    <t>Janitorial Expense</t>
  </si>
  <si>
    <t>5410.0</t>
  </si>
  <si>
    <t>Janitorial Contract</t>
  </si>
  <si>
    <t>Net Profit (Loss)|Net Operating Income|Operating Expenses|Janitorial Expense</t>
  </si>
  <si>
    <t>00000|00000|00001|00001</t>
  </si>
  <si>
    <t>5420.0</t>
  </si>
  <si>
    <t>Cleaning Supplies</t>
  </si>
  <si>
    <t>5450.0</t>
  </si>
  <si>
    <t>Pest Control</t>
  </si>
  <si>
    <t>5460.0</t>
  </si>
  <si>
    <t>Misc Janitorial</t>
  </si>
  <si>
    <t>5480.0</t>
  </si>
  <si>
    <t>Pool Cleaning/Repair</t>
  </si>
  <si>
    <t>Repair and Maintenance</t>
  </si>
  <si>
    <t>5510.0</t>
  </si>
  <si>
    <t>Electrical Repair</t>
  </si>
  <si>
    <t>Net Profit (Loss)|Net Operating Income|Operating Expenses|Repair and Maintenance</t>
  </si>
  <si>
    <t>00000|00000|00001|00002</t>
  </si>
  <si>
    <t>5520.0</t>
  </si>
  <si>
    <t>Plumbing Repair</t>
  </si>
  <si>
    <t>5530.0</t>
  </si>
  <si>
    <t>HVAC Repair</t>
  </si>
  <si>
    <t>5540.0</t>
  </si>
  <si>
    <t>Exterior and Roof Repair</t>
  </si>
  <si>
    <t>5560.0</t>
  </si>
  <si>
    <t>Painting</t>
  </si>
  <si>
    <t>5570.0</t>
  </si>
  <si>
    <t>Floor Refinish and Carpet Repair</t>
  </si>
  <si>
    <t>5580.0</t>
  </si>
  <si>
    <t>Appliance Repairs</t>
  </si>
  <si>
    <t>5630.0</t>
  </si>
  <si>
    <t>R and M Supplies</t>
  </si>
  <si>
    <t>5640.0</t>
  </si>
  <si>
    <t>Keys and Locks</t>
  </si>
  <si>
    <t>5650.0</t>
  </si>
  <si>
    <t>Light Bulbs and Fixtures</t>
  </si>
  <si>
    <t>5660.0</t>
  </si>
  <si>
    <t>Window and Door Repairs</t>
  </si>
  <si>
    <t>5670.0</t>
  </si>
  <si>
    <t>Small Appliance and Tools</t>
  </si>
  <si>
    <t>5680.0</t>
  </si>
  <si>
    <t>Misc Maint and Repair</t>
  </si>
  <si>
    <t>Services Expense</t>
  </si>
  <si>
    <t>5820.0</t>
  </si>
  <si>
    <t>HVAC Contract</t>
  </si>
  <si>
    <t>Net Profit (Loss)|Net Operating Income|Operating Expenses|Services Expense</t>
  </si>
  <si>
    <t>00000|00000|00001|00003</t>
  </si>
  <si>
    <t>5830.0</t>
  </si>
  <si>
    <t>Elevator Contract</t>
  </si>
  <si>
    <t>5840.0</t>
  </si>
  <si>
    <t>Security</t>
  </si>
  <si>
    <t>5850.0</t>
  </si>
  <si>
    <t>Fire and Life Safety</t>
  </si>
  <si>
    <t>5860.0</t>
  </si>
  <si>
    <t>Landscaping</t>
  </si>
  <si>
    <t>5960.0</t>
  </si>
  <si>
    <t>Copier Contract</t>
  </si>
  <si>
    <t>Utilities Expense</t>
  </si>
  <si>
    <t>5890.0</t>
  </si>
  <si>
    <t>Cable Service</t>
  </si>
  <si>
    <t>Net Profit (Loss)|Net Operating Income|Operating Expenses|Utilities Expense</t>
  </si>
  <si>
    <t>00000|00000|00001|00004</t>
  </si>
  <si>
    <t>6010.0</t>
  </si>
  <si>
    <t>Electricity - Common Area</t>
  </si>
  <si>
    <t>6012.0</t>
  </si>
  <si>
    <t>Electricity - Vacant Units</t>
  </si>
  <si>
    <t>6020.0</t>
  </si>
  <si>
    <t>Natural Gas - Common Area</t>
  </si>
  <si>
    <t>6022.0</t>
  </si>
  <si>
    <t>Natural Gas - Vacant Units</t>
  </si>
  <si>
    <t>6030.0</t>
  </si>
  <si>
    <t>Water and Sewer - Common Area</t>
  </si>
  <si>
    <t>6040.0</t>
  </si>
  <si>
    <t>Trash</t>
  </si>
  <si>
    <t>6050.0</t>
  </si>
  <si>
    <t>Misc Utilities</t>
  </si>
  <si>
    <t>6450.0</t>
  </si>
  <si>
    <t>Telephone</t>
  </si>
  <si>
    <t>6470.0</t>
  </si>
  <si>
    <t>Internet Service</t>
  </si>
  <si>
    <t>Insurance and Taxes</t>
  </si>
  <si>
    <t>6110.0</t>
  </si>
  <si>
    <t>Real Property Taxes</t>
  </si>
  <si>
    <t>Net Profit (Loss)|Net Operating Income|Operating Expenses|Insurance and Taxes</t>
  </si>
  <si>
    <t>00000|00000|00001|00005</t>
  </si>
  <si>
    <t>6190.0</t>
  </si>
  <si>
    <t>General License and Permits</t>
  </si>
  <si>
    <t>6210.0</t>
  </si>
  <si>
    <t>Insurance</t>
  </si>
  <si>
    <t>6840.0</t>
  </si>
  <si>
    <t>State/Local Taxes and Licenses</t>
  </si>
  <si>
    <t>Turnover Expense</t>
  </si>
  <si>
    <t>6310.0</t>
  </si>
  <si>
    <t>Turnover - Cleaning</t>
  </si>
  <si>
    <t>Net Profit (Loss)|Net Operating Income|Operating Expenses|Turnover Expense</t>
  </si>
  <si>
    <t>00000|00000|00001|00006</t>
  </si>
  <si>
    <t>6320.0</t>
  </si>
  <si>
    <t>Turnover - R and M</t>
  </si>
  <si>
    <t>6330.0</t>
  </si>
  <si>
    <t>Turnover - Painting</t>
  </si>
  <si>
    <t>6340.0</t>
  </si>
  <si>
    <t>Turnover - Carpet Cleaning</t>
  </si>
  <si>
    <t>Marketing and Advertising</t>
  </si>
  <si>
    <t>6410.0</t>
  </si>
  <si>
    <t>Net Profit (Loss)|Net Operating Income|Operating Expenses|Total Marketing and Advertising</t>
  </si>
  <si>
    <t>Net Profit (Loss)|Net Operating Income|Operating Expenses|Marketing and Advertising</t>
  </si>
  <si>
    <t>00000|00000|00001|00007</t>
  </si>
  <si>
    <t>6410.1</t>
  </si>
  <si>
    <t>Signage expense</t>
  </si>
  <si>
    <t>Total Marketing and Advertising</t>
  </si>
  <si>
    <t>Administration Expense</t>
  </si>
  <si>
    <t>6420.0</t>
  </si>
  <si>
    <t>Tenant Retention</t>
  </si>
  <si>
    <t>Net Profit (Loss)|Net Operating Income|Operating Expenses|Administration Expense</t>
  </si>
  <si>
    <t>00000|00000|00001|00008</t>
  </si>
  <si>
    <t>6480.0</t>
  </si>
  <si>
    <t>Computer Maintenance</t>
  </si>
  <si>
    <t>6485.0</t>
  </si>
  <si>
    <t>Software</t>
  </si>
  <si>
    <t>6490.0</t>
  </si>
  <si>
    <t>Office Supplies</t>
  </si>
  <si>
    <t>6510.0</t>
  </si>
  <si>
    <t>Service subscription</t>
  </si>
  <si>
    <t>6530.0</t>
  </si>
  <si>
    <t>Postage</t>
  </si>
  <si>
    <t>6550.0</t>
  </si>
  <si>
    <t>Staff Meals/Entertainment</t>
  </si>
  <si>
    <t>6560.0</t>
  </si>
  <si>
    <t>Travel Miles and Parking</t>
  </si>
  <si>
    <t>6570.0</t>
  </si>
  <si>
    <t>Training and Education</t>
  </si>
  <si>
    <t>6590.0</t>
  </si>
  <si>
    <t>Uniforms</t>
  </si>
  <si>
    <t>6630.0</t>
  </si>
  <si>
    <t>Bank and Loan Fees</t>
  </si>
  <si>
    <t>6650.0</t>
  </si>
  <si>
    <t>Application Fee Expense</t>
  </si>
  <si>
    <t>6720.0</t>
  </si>
  <si>
    <t>Property Management Fee</t>
  </si>
  <si>
    <t>6740.0</t>
  </si>
  <si>
    <t>Legal</t>
  </si>
  <si>
    <t>Net Operating Income</t>
  </si>
  <si>
    <t>Non Operating Income</t>
  </si>
  <si>
    <t>9020.0</t>
  </si>
  <si>
    <t>Interest Income</t>
  </si>
  <si>
    <t>Net Profit (Loss)|Non Operating Income</t>
  </si>
  <si>
    <t>00000|00001</t>
  </si>
  <si>
    <t>4|4</t>
  </si>
  <si>
    <t>Non Operating Expenses</t>
  </si>
  <si>
    <t>9180.0</t>
  </si>
  <si>
    <t>Interest Exp - Mortgage</t>
  </si>
  <si>
    <t>Net Profit (Loss)|Non Operating Expenses</t>
  </si>
  <si>
    <t>00000|00002</t>
  </si>
  <si>
    <t>4|5</t>
  </si>
  <si>
    <t>9270.0</t>
  </si>
  <si>
    <t>Asset Mgmt Fee</t>
  </si>
  <si>
    <t>9270.1</t>
  </si>
  <si>
    <t>Asset manager- Travel/ Meal Expense</t>
  </si>
  <si>
    <t>9310.1</t>
  </si>
  <si>
    <t>N/O- Repair &amp; Maint.</t>
  </si>
  <si>
    <t>9310.4</t>
  </si>
  <si>
    <t>N/O- IT/Computer Expenses</t>
  </si>
  <si>
    <t>9310.5</t>
  </si>
  <si>
    <t>N/O- Misc Expenses</t>
  </si>
  <si>
    <t>9310.8</t>
  </si>
  <si>
    <t>N/O- Professional fee</t>
  </si>
  <si>
    <t>9312.0</t>
  </si>
  <si>
    <t>N/O- Flooring</t>
  </si>
  <si>
    <t>9312.1</t>
  </si>
  <si>
    <t>N/O- Appliances</t>
  </si>
  <si>
    <t>9312.3</t>
  </si>
  <si>
    <t>N/O- Painting &amp; Exterior</t>
  </si>
  <si>
    <t>9312.4</t>
  </si>
  <si>
    <t>N/O- Landscape</t>
  </si>
  <si>
    <t>9312.6</t>
  </si>
  <si>
    <t>N/O- Fixtures &amp; Heaters</t>
  </si>
  <si>
    <t>9312.7</t>
  </si>
  <si>
    <t>N/O- Common Areas</t>
  </si>
  <si>
    <t>Net Profit (Loss)</t>
  </si>
  <si>
    <t>Income Statement</t>
  </si>
  <si>
    <t>Report Parameters</t>
  </si>
  <si>
    <t>Report Name</t>
  </si>
  <si>
    <t>Version</t>
  </si>
  <si>
    <t>Property Groups</t>
  </si>
  <si>
    <t>Chart of Accounts or Mask</t>
  </si>
  <si>
    <t>Master GL Tree</t>
  </si>
  <si>
    <t>Accounting Method</t>
  </si>
  <si>
    <t>Accrual</t>
  </si>
  <si>
    <t>Location Type</t>
  </si>
  <si>
    <t>Property</t>
  </si>
  <si>
    <t>Period</t>
  </si>
  <si>
    <t>Current Post Month</t>
  </si>
  <si>
    <t>Use Alternative Year End</t>
  </si>
  <si>
    <t>No</t>
  </si>
  <si>
    <t>Trailing Periods</t>
  </si>
  <si>
    <t>Expand By Period</t>
  </si>
  <si>
    <t>Month</t>
  </si>
  <si>
    <t>GL Account Numbers</t>
  </si>
  <si>
    <t>Show</t>
  </si>
  <si>
    <t>Show Periods From</t>
  </si>
  <si>
    <t>Oldest To Newest</t>
  </si>
  <si>
    <t>Consolidate By</t>
  </si>
  <si>
    <t>All Properties</t>
  </si>
  <si>
    <t>Accounting Method Exception</t>
  </si>
  <si>
    <t>No Exception</t>
  </si>
  <si>
    <t>Show Occupancy Percentages</t>
  </si>
  <si>
    <t>Zero Balances</t>
  </si>
  <si>
    <t>Hide</t>
  </si>
  <si>
    <t>Net Cash Flow Groups</t>
  </si>
  <si>
    <t>Beginning/Ending Cash Balances</t>
  </si>
  <si>
    <t>Beginning/Ending Cash Balances Details</t>
  </si>
  <si>
    <t>Year-To-Date</t>
  </si>
  <si>
    <t>Include Paused Journal Entries</t>
  </si>
  <si>
    <t>Compare Periods</t>
  </si>
  <si>
    <t>Compare Against</t>
  </si>
  <si>
    <t>Prior Period</t>
  </si>
  <si>
    <t>% of Income</t>
  </si>
  <si>
    <t>Expand by GL Book</t>
  </si>
  <si>
    <t>Enable Drill-ins</t>
  </si>
  <si>
    <t>Yes</t>
  </si>
  <si>
    <t>Income Statement 4.1 generated</t>
  </si>
  <si>
    <t>04/30/2026 10:39 PM PDT</t>
  </si>
  <si>
    <t xml:space="preserve"> data as of</t>
  </si>
</sst>
</file>

<file path=xl/styles.xml><?xml version="1.0" encoding="utf-8"?>
<styleSheet xmlns="http://schemas.openxmlformats.org/spreadsheetml/2006/main" xml:space="preserve">
  <numFmts count="2">
    <numFmt numFmtId="164" formatCode="#,##0.00;[Red]#,##0.00"/>
    <numFmt numFmtId="165" formatCode="#,##0.00;(#,##0.00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sans-serif"/>
    </font>
    <font>
      <b val="1"/>
      <i val="0"/>
      <strike val="0"/>
      <u val="none"/>
      <sz val="10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2" borderId="0" applyFont="1" applyNumberFormat="1" applyFill="1" applyBorder="0" applyAlignment="1">
      <alignment horizontal="left" vertical="center" textRotation="0" wrapText="true" shrinkToFit="false"/>
    </xf>
    <xf xfId="0" fontId="3" numFmtId="164" fillId="2" borderId="0" applyFont="1" applyNumberFormat="1" applyFill="1" applyBorder="0" applyAlignment="1">
      <alignment horizontal="right" vertical="center" textRotation="0" wrapText="false" shrinkToFit="false"/>
    </xf>
    <xf xfId="0" fontId="3" numFmtId="165" fillId="2" borderId="0" applyFont="1" applyNumberFormat="1" applyFill="1" applyBorder="0" applyAlignment="1">
      <alignment horizontal="right" vertical="center" textRotation="0" wrapText="true" shrinkToFit="false"/>
    </xf>
    <xf xfId="0" fontId="3" numFmtId="49" fillId="2" borderId="0" applyFont="1" applyNumberFormat="1" applyFill="1" applyBorder="0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49" fillId="0" borderId="0" applyFont="1" applyNumberFormat="1" applyFill="0" applyBorder="0" applyAlignment="1">
      <alignment horizontal="left" vertical="center" textRotation="0" wrapText="false" shrinkToFit="false" indent="2"/>
    </xf>
    <xf xfId="0" fontId="3" numFmtId="49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0" borderId="1" applyFont="1" applyNumberFormat="1" applyFill="0" applyBorder="1" applyAlignment="1">
      <alignment horizontal="right" vertical="center" textRotation="0" wrapText="false" shrinkToFit="false"/>
    </xf>
    <xf xfId="0" fontId="3" numFmtId="165" fillId="0" borderId="1" applyFont="1" applyNumberFormat="1" applyFill="0" applyBorder="1" applyAlignment="1">
      <alignment horizontal="right" vertical="center" textRotation="0" wrapText="false" shrinkToFit="false"/>
    </xf>
    <xf xfId="0" fontId="3" numFmtId="49" fillId="0" borderId="1" applyFont="1" applyNumberFormat="1" applyFill="0" applyBorder="1" applyAlignment="1">
      <alignment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164" fillId="0" borderId="2" applyFont="1" applyNumberFormat="1" applyFill="0" applyBorder="1" applyAlignment="1">
      <alignment horizontal="right" vertical="center" textRotation="0" wrapText="false" shrinkToFit="false"/>
    </xf>
    <xf xfId="0" fontId="3" numFmtId="165" fillId="0" borderId="2" applyFont="1" applyNumberFormat="1" applyFill="0" applyBorder="1" applyAlignment="1">
      <alignment horizontal="right" vertical="center" textRotation="0" wrapText="false" shrinkToFit="false"/>
    </xf>
    <xf xfId="0" fontId="3" numFmtId="49" fillId="0" borderId="2" applyFont="1" applyNumberFormat="1" applyFill="0" applyBorder="1" applyAlignment="1">
      <alignment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164" fillId="0" borderId="0" applyFont="1" applyNumberFormat="1" applyFill="0" applyBorder="0" applyAlignment="1">
      <alignment horizontal="right" vertical="center" textRotation="0" wrapText="false" shrinkToFit="false"/>
    </xf>
    <xf xfId="0" fontId="2" numFmtId="165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L166"/>
  <sheetViews>
    <sheetView tabSelected="1" workbookViewId="0" showGridLines="true" showRowColHeaders="1">
      <pane ySplit="7" activePane="bottomLeft" state="frozen" topLeftCell="A8"/>
      <selection pane="bottomLeft" activeCell="BI10" sqref="BI10:BI163"/>
    </sheetView>
  </sheetViews>
  <sheetFormatPr defaultRowHeight="14.4" outlineLevelRow="0" outlineLevelCol="0"/>
  <cols>
    <col min="1" max="1" width="25" customWidth="true" style="0"/>
    <col min="2" max="2" width="30.714285714286" customWidth="true" style="0"/>
    <col min="3" max="3" width="16.428571428571" customWidth="true" style="0"/>
    <col min="4" max="4" width="16.428571428571" customWidth="true" style="0"/>
    <col min="5" max="5" width="16.428571428571" customWidth="true" style="0"/>
    <col min="6" max="6" width="16.428571428571" customWidth="true" style="0"/>
    <col min="7" max="7" width="16.428571428571" customWidth="true" style="0"/>
    <col min="8" max="8" width="16.428571428571" customWidth="true" style="0"/>
    <col min="9" max="9" width="16.428571428571" customWidth="true" style="0"/>
    <col min="10" max="10" width="16.428571428571" customWidth="true" style="0"/>
    <col min="11" max="11" width="16.428571428571" customWidth="true" style="0"/>
    <col min="12" max="12" width="16.428571428571" customWidth="true" style="0"/>
    <col min="13" max="13" width="16.428571428571" customWidth="true" style="0"/>
    <col min="14" max="14" width="16.428571428571" customWidth="true" style="0"/>
    <col min="15" max="15" width="16.428571428571" customWidth="true" style="0"/>
    <col min="16" max="16" width="16.428571428571" customWidth="true" style="0"/>
    <col min="18" max="18" width="14.428571428571" hidden="true" customWidth="true" style="0"/>
    <col min="19" max="19" width="30.714285714286" hidden="true" customWidth="true" style="0"/>
    <col min="20" max="20" width="20.714285714286" hidden="true" customWidth="true" style="0"/>
    <col min="21" max="21" width="13.571428571429" hidden="true" customWidth="true" style="0"/>
    <col min="22" max="22" width="17.428571428571" hidden="true" customWidth="true" style="0"/>
    <col min="23" max="23" width="17.428571428571" hidden="true" customWidth="true" style="0"/>
    <col min="24" max="24" width="106.8" hidden="true" customWidth="true" style="0"/>
    <col min="25" max="25" width="99.6" hidden="true" customWidth="true" style="0"/>
    <col min="26" max="26" width="27.6" hidden="true" customWidth="true" style="0"/>
    <col min="27" max="27" width="42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4.4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  <col min="38" max="38" width="17.428571428571" hidden="true" customWidth="true" style="0"/>
    <col min="39" max="39" width="17.428571428571" hidden="true" customWidth="true" style="0"/>
    <col min="40" max="40" width="17.428571428571" hidden="true" customWidth="true" style="0"/>
    <col min="41" max="41" width="17.428571428571" hidden="true" customWidth="true" style="0"/>
    <col min="42" max="42" width="17.428571428571" hidden="true" customWidth="true" style="0"/>
    <col min="43" max="43" width="17.428571428571" hidden="true" customWidth="true" style="0"/>
    <col min="44" max="44" width="17.428571428571" hidden="true" customWidth="true" style="0"/>
    <col min="45" max="45" width="17.428571428571" hidden="true" customWidth="true" style="0"/>
    <col min="46" max="46" width="17.428571428571" hidden="true" customWidth="true" style="0"/>
    <col min="47" max="47" width="17.428571428571" hidden="true" customWidth="true" style="0"/>
    <col min="48" max="48" width="17.428571428571" hidden="true" customWidth="true" style="0"/>
    <col min="49" max="49" width="17.428571428571" hidden="true" customWidth="true" style="0"/>
    <col min="50" max="50" width="17.428571428571" hidden="true" customWidth="true" style="0"/>
    <col min="51" max="51" width="17.428571428571" hidden="true" customWidth="true" style="0"/>
    <col min="52" max="52" width="17.428571428571" hidden="true" customWidth="true" style="0"/>
    <col min="53" max="53" width="17.428571428571" hidden="true" customWidth="true" style="0"/>
    <col min="54" max="54" width="17.428571428571" hidden="true" customWidth="true" style="0"/>
    <col min="55" max="55" width="17.428571428571" hidden="true" customWidth="true" style="0"/>
    <col min="56" max="56" width="17.428571428571" hidden="true" customWidth="true" style="0"/>
    <col min="57" max="57" width="17.428571428571" hidden="true" customWidth="true" style="0"/>
    <col min="58" max="58" width="17.428571428571" hidden="true" customWidth="true" style="0"/>
    <col min="59" max="59" width="17.428571428571" hidden="true" customWidth="true" style="0"/>
    <col min="60" max="60" width="17.428571428571" hidden="true" customWidth="true" style="0"/>
    <col min="61" max="61" width="17.428571428571" hidden="true" customWidth="true" style="0"/>
    <col min="66" max="66" width="9.10" hidden="true" style="0"/>
    <col min="67" max="67" width="9.10" hidden="true" style="0"/>
    <col min="68" max="68" width="9.10" hidden="true" style="0"/>
    <col min="69" max="69" width="9.10" hidden="true" style="0"/>
    <col min="70" max="70" width="9.10" hidden="true" style="0"/>
    <col min="71" max="71" width="9.10" hidden="true" style="0"/>
    <col min="72" max="72" width="9.10" hidden="true" style="0"/>
    <col min="73" max="73" width="9.10" hidden="true" style="0"/>
    <col min="74" max="74" width="9.10" hidden="true" style="0"/>
    <col min="75" max="75" width="9.10" hidden="true" style="0"/>
    <col min="76" max="76" width="9.10" hidden="true" style="0"/>
    <col min="77" max="77" width="9.10" hidden="true" style="0"/>
    <col min="78" max="78" width="9.10" hidden="true" style="0"/>
    <col min="79" max="79" width="9.10" hidden="true" style="0"/>
    <col min="80" max="80" width="9.10" hidden="true" style="0"/>
    <col min="81" max="81" width="9.10" hidden="true" style="0"/>
    <col min="82" max="82" width="9.10" hidden="true" style="0"/>
    <col min="83" max="83" width="9.10" hidden="true" style="0"/>
    <col min="84" max="84" width="9.10" hidden="true" style="0"/>
    <col min="86" max="86" width="9.10" hidden="true" style="0"/>
    <col min="87" max="87" width="9.10" hidden="true" style="0"/>
    <col min="89" max="89" width="9.10" hidden="true" style="0"/>
    <col min="90" max="90" width="9.10" hidden="true" style="0"/>
  </cols>
  <sheetData>
    <row r="2" spans="1:90">
      <c r="A2" s="1" t="s">
        <v>0</v>
      </c>
    </row>
    <row r="3" spans="1:90">
      <c r="A3" s="2" t="s">
        <v>1</v>
      </c>
    </row>
    <row r="4" spans="1:90">
      <c r="A4" s="2" t="s">
        <v>2</v>
      </c>
    </row>
    <row r="5" spans="1:90">
      <c r="A5" s="2" t="s">
        <v>3</v>
      </c>
    </row>
    <row r="7" spans="1:90">
      <c r="A7" s="3" t="s">
        <v>4</v>
      </c>
      <c r="B7" s="3" t="s">
        <v>5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R7" s="4" t="s">
        <v>6</v>
      </c>
      <c r="S7" s="6" t="s">
        <v>21</v>
      </c>
      <c r="T7" s="6" t="s">
        <v>22</v>
      </c>
      <c r="U7" s="4" t="s">
        <v>23</v>
      </c>
      <c r="V7" s="4" t="s">
        <v>24</v>
      </c>
      <c r="W7" s="4" t="s">
        <v>25</v>
      </c>
      <c r="X7" s="6" t="s">
        <v>26</v>
      </c>
      <c r="Y7" s="6" t="s">
        <v>27</v>
      </c>
      <c r="Z7" s="6" t="s">
        <v>28</v>
      </c>
      <c r="AA7" s="6" t="s">
        <v>29</v>
      </c>
      <c r="AB7" s="4" t="s">
        <v>30</v>
      </c>
      <c r="AC7" s="4" t="s">
        <v>31</v>
      </c>
      <c r="AD7" s="4" t="s">
        <v>32</v>
      </c>
      <c r="AE7" s="4" t="s">
        <v>33</v>
      </c>
      <c r="AF7" s="6" t="s">
        <v>34</v>
      </c>
      <c r="AG7" s="4" t="s">
        <v>35</v>
      </c>
      <c r="AH7" s="4" t="s">
        <v>36</v>
      </c>
      <c r="AI7" s="4" t="s">
        <v>37</v>
      </c>
      <c r="AJ7" s="4" t="s">
        <v>38</v>
      </c>
      <c r="AK7" s="4" t="s">
        <v>39</v>
      </c>
      <c r="AL7" s="4" t="s">
        <v>40</v>
      </c>
      <c r="AM7" s="4" t="s">
        <v>41</v>
      </c>
      <c r="AN7" s="4" t="s">
        <v>42</v>
      </c>
      <c r="AO7" s="4" t="s">
        <v>43</v>
      </c>
      <c r="AP7" s="4" t="s">
        <v>44</v>
      </c>
      <c r="AQ7" s="4" t="s">
        <v>45</v>
      </c>
      <c r="AR7" s="4" t="s">
        <v>46</v>
      </c>
      <c r="AS7" s="4" t="s">
        <v>47</v>
      </c>
      <c r="AT7" s="4" t="s">
        <v>48</v>
      </c>
      <c r="AU7" s="4" t="s">
        <v>49</v>
      </c>
      <c r="AV7" s="4" t="s">
        <v>50</v>
      </c>
      <c r="AW7" s="4" t="s">
        <v>51</v>
      </c>
      <c r="AX7" s="4" t="s">
        <v>52</v>
      </c>
      <c r="AY7" s="4" t="s">
        <v>53</v>
      </c>
      <c r="AZ7" s="4" t="s">
        <v>54</v>
      </c>
      <c r="BA7" s="4" t="s">
        <v>55</v>
      </c>
      <c r="BB7" s="4" t="s">
        <v>56</v>
      </c>
      <c r="BC7" s="4" t="s">
        <v>57</v>
      </c>
      <c r="BD7" s="4" t="s">
        <v>58</v>
      </c>
      <c r="BE7" s="4" t="s">
        <v>59</v>
      </c>
      <c r="BF7" s="4" t="s">
        <v>60</v>
      </c>
      <c r="BG7" s="4" t="s">
        <v>61</v>
      </c>
      <c r="BH7" s="4" t="s">
        <v>62</v>
      </c>
      <c r="BI7" s="4" t="s">
        <v>63</v>
      </c>
    </row>
    <row r="8" spans="1:90">
      <c r="A8" s="7" t="s">
        <v>64</v>
      </c>
    </row>
    <row r="9" spans="1:90">
      <c r="A9" s="8" t="s">
        <v>65</v>
      </c>
    </row>
    <row r="10" spans="1:90">
      <c r="A10" s="9" t="s">
        <v>66</v>
      </c>
      <c r="B10" s="18" t="s">
        <v>67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28630.93</v>
      </c>
      <c r="J10" s="20">
        <v>1478696.96</v>
      </c>
      <c r="K10" s="20">
        <v>78392.26</v>
      </c>
      <c r="L10" s="20">
        <v>79052.4</v>
      </c>
      <c r="M10" s="20">
        <v>81051.38</v>
      </c>
      <c r="N10" s="20">
        <v>83861.27</v>
      </c>
      <c r="O10" s="20">
        <v>1829685.2</v>
      </c>
      <c r="P10" s="20">
        <v>322357.31</v>
      </c>
      <c r="R10" s="19">
        <v>4.0</v>
      </c>
      <c r="V10" s="19">
        <v>100017.0</v>
      </c>
      <c r="W10" s="19">
        <v>100128578.0</v>
      </c>
      <c r="X10" s="18" t="s">
        <v>68</v>
      </c>
      <c r="Y10" s="18" t="s">
        <v>68</v>
      </c>
      <c r="Z10" s="18" t="s">
        <v>69</v>
      </c>
      <c r="AA10" s="18" t="s">
        <v>67</v>
      </c>
      <c r="AB10" s="19">
        <v>4010.5</v>
      </c>
      <c r="AC10" s="19">
        <v>1.0</v>
      </c>
      <c r="AD10" s="19">
        <v>6238.0</v>
      </c>
      <c r="AE10" s="19">
        <v>3.0</v>
      </c>
      <c r="AF10" s="18" t="s">
        <v>70</v>
      </c>
      <c r="AG10" s="19">
        <v>4.0</v>
      </c>
      <c r="AH10" s="19">
        <v>1.0</v>
      </c>
      <c r="AI10" s="19">
        <v>2232.0</v>
      </c>
      <c r="AJ10" s="19">
        <v>7.0</v>
      </c>
      <c r="AK10" s="19">
        <v>0.0</v>
      </c>
      <c r="AL10" s="19">
        <v>0.0</v>
      </c>
      <c r="AM10" s="19">
        <v>0.0</v>
      </c>
      <c r="AN10" s="19">
        <v>0.0</v>
      </c>
      <c r="AO10" s="19">
        <v>28630.93</v>
      </c>
      <c r="AP10" s="19">
        <v>1.0</v>
      </c>
      <c r="AQ10" s="19">
        <v>79052.4</v>
      </c>
      <c r="AR10" s="19">
        <v>1.0</v>
      </c>
      <c r="AS10" s="19">
        <v>0.0</v>
      </c>
      <c r="AT10" s="19">
        <f>IF(5 = R10, C10 * -1, C10)</f>
        <v>0</v>
      </c>
      <c r="AU10" s="19">
        <f>IF(5 = R10, D10 * -1, D10)</f>
        <v>0</v>
      </c>
      <c r="AV10" s="19">
        <f>IF(5 = R10, E10 * -1, E10)</f>
        <v>0</v>
      </c>
      <c r="AW10" s="19">
        <f>IF(5 = R10, F10 * -1, F10)</f>
        <v>0</v>
      </c>
      <c r="AX10" s="19">
        <f>IF(5 = R10, G10 * -1, G10)</f>
        <v>0</v>
      </c>
      <c r="AY10" s="19">
        <f>IF(5 = R10, H10 * -1, H10)</f>
        <v>0</v>
      </c>
      <c r="AZ10" s="19">
        <f>IF(5 = R10, I10 * -1, I10)</f>
        <v>28630.93</v>
      </c>
      <c r="BA10" s="19">
        <f>IF(5 = R10, J10 * -1, J10)</f>
        <v>1478696.96</v>
      </c>
      <c r="BB10" s="19">
        <v>78392.26</v>
      </c>
      <c r="BC10" s="19">
        <f>IF(5 = R10, K10 * -1, K10)</f>
        <v>78392.26</v>
      </c>
      <c r="BD10" s="19">
        <v>79052.4</v>
      </c>
      <c r="BE10" s="19">
        <f>IF(5 = R10, L10 * -1, L10)</f>
        <v>79052.4</v>
      </c>
      <c r="BF10" s="19">
        <f>IF(5 = R10, M10 * -1, M10)</f>
        <v>81051.38</v>
      </c>
      <c r="BG10" s="19">
        <f>IF(5 = R10, N10 * -1, N10)</f>
        <v>83861.27</v>
      </c>
      <c r="BH10" s="19">
        <f>IF(5 = R10, O10 * -1, O10)</f>
        <v>1829685.2</v>
      </c>
      <c r="BI10" s="19">
        <f>IF(5 = R10, P10 * -1, P10)</f>
        <v>322357.31</v>
      </c>
    </row>
    <row r="11" spans="1:90">
      <c r="A11" s="9" t="s">
        <v>71</v>
      </c>
      <c r="B11" s="18" t="s">
        <v>72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-62025.0</v>
      </c>
      <c r="K11" s="20">
        <v>0.0</v>
      </c>
      <c r="L11" s="20">
        <v>0.0</v>
      </c>
      <c r="M11" s="20">
        <v>0.0</v>
      </c>
      <c r="N11" s="20">
        <v>0.0</v>
      </c>
      <c r="O11" s="20">
        <v>-62025.0</v>
      </c>
      <c r="P11" s="20">
        <v>0.0</v>
      </c>
      <c r="R11" s="19">
        <v>4.0</v>
      </c>
      <c r="V11" s="19">
        <v>100017.0</v>
      </c>
      <c r="W11" s="19">
        <v>100128578.0</v>
      </c>
      <c r="X11" s="18" t="s">
        <v>68</v>
      </c>
      <c r="Y11" s="18" t="s">
        <v>68</v>
      </c>
      <c r="Z11" s="18" t="s">
        <v>69</v>
      </c>
      <c r="AA11" s="18" t="s">
        <v>72</v>
      </c>
      <c r="AB11" s="19">
        <v>4020.2</v>
      </c>
      <c r="AC11" s="19">
        <v>1.0</v>
      </c>
      <c r="AD11" s="19">
        <v>6244.0</v>
      </c>
      <c r="AE11" s="19">
        <v>5.0</v>
      </c>
      <c r="AF11" s="18" t="s">
        <v>70</v>
      </c>
      <c r="AG11" s="19">
        <v>4.0</v>
      </c>
      <c r="AH11" s="19">
        <v>1.0</v>
      </c>
      <c r="AI11" s="19">
        <v>2232.0</v>
      </c>
      <c r="AJ11" s="19">
        <v>1.0</v>
      </c>
      <c r="AK11" s="19">
        <v>0.0</v>
      </c>
      <c r="AL11" s="19">
        <v>0.0</v>
      </c>
      <c r="AM11" s="19">
        <v>0.0</v>
      </c>
      <c r="AN11" s="19">
        <v>0.0</v>
      </c>
      <c r="AO11" s="19">
        <v>0.0</v>
      </c>
      <c r="AP11" s="19">
        <v>0.0</v>
      </c>
      <c r="AQ11" s="19">
        <v>0.0</v>
      </c>
      <c r="AR11" s="19">
        <v>0.0</v>
      </c>
      <c r="AS11" s="19">
        <v>0.0</v>
      </c>
      <c r="AT11" s="19">
        <f>IF(5 = R11, C11 * -1, C11)</f>
        <v>0</v>
      </c>
      <c r="AU11" s="19">
        <f>IF(5 = R11, D11 * -1, D11)</f>
        <v>0</v>
      </c>
      <c r="AV11" s="19">
        <f>IF(5 = R11, E11 * -1, E11)</f>
        <v>0</v>
      </c>
      <c r="AW11" s="19">
        <f>IF(5 = R11, F11 * -1, F11)</f>
        <v>0</v>
      </c>
      <c r="AX11" s="19">
        <f>IF(5 = R11, G11 * -1, G11)</f>
        <v>0</v>
      </c>
      <c r="AY11" s="19">
        <f>IF(5 = R11, H11 * -1, H11)</f>
        <v>0</v>
      </c>
      <c r="AZ11" s="19">
        <f>IF(5 = R11, I11 * -1, I11)</f>
        <v>0</v>
      </c>
      <c r="BA11" s="19">
        <f>IF(5 = R11, J11 * -1, J11)</f>
        <v>-62025</v>
      </c>
      <c r="BB11" s="19">
        <v>0.0</v>
      </c>
      <c r="BC11" s="19">
        <f>IF(5 = R11, K11 * -1, K11)</f>
        <v>0</v>
      </c>
      <c r="BD11" s="19">
        <v>0.0</v>
      </c>
      <c r="BE11" s="19">
        <f>IF(5 = R11, L11 * -1, L11)</f>
        <v>0</v>
      </c>
      <c r="BF11" s="19">
        <f>IF(5 = R11, M11 * -1, M11)</f>
        <v>0</v>
      </c>
      <c r="BG11" s="19">
        <f>IF(5 = R11, N11 * -1, N11)</f>
        <v>0</v>
      </c>
      <c r="BH11" s="19">
        <f>IF(5 = R11, O11 * -1, O11)</f>
        <v>-62025</v>
      </c>
      <c r="BI11" s="19">
        <f>IF(5 = R11, P11 * -1, P11)</f>
        <v>0</v>
      </c>
    </row>
    <row r="12" spans="1:90">
      <c r="A12" s="9" t="s">
        <v>73</v>
      </c>
      <c r="B12" s="18" t="s">
        <v>74</v>
      </c>
      <c r="C12" s="20">
        <v>0.0</v>
      </c>
      <c r="D12" s="20">
        <v>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0">
        <v>-115144.0</v>
      </c>
      <c r="K12" s="20">
        <v>0.0</v>
      </c>
      <c r="L12" s="20">
        <v>0.0</v>
      </c>
      <c r="M12" s="20">
        <v>0.0</v>
      </c>
      <c r="N12" s="20">
        <v>0.0</v>
      </c>
      <c r="O12" s="20">
        <v>-115144.0</v>
      </c>
      <c r="P12" s="20">
        <v>0.0</v>
      </c>
      <c r="R12" s="19">
        <v>4.0</v>
      </c>
      <c r="V12" s="19">
        <v>100017.0</v>
      </c>
      <c r="W12" s="19">
        <v>100128578.0</v>
      </c>
      <c r="X12" s="18" t="s">
        <v>68</v>
      </c>
      <c r="Y12" s="18" t="s">
        <v>68</v>
      </c>
      <c r="Z12" s="18" t="s">
        <v>69</v>
      </c>
      <c r="AA12" s="18" t="s">
        <v>74</v>
      </c>
      <c r="AB12" s="19">
        <v>4020.4</v>
      </c>
      <c r="AC12" s="19">
        <v>1.0</v>
      </c>
      <c r="AD12" s="19">
        <v>6242.0</v>
      </c>
      <c r="AE12" s="19">
        <v>6.0</v>
      </c>
      <c r="AF12" s="18" t="s">
        <v>70</v>
      </c>
      <c r="AG12" s="19">
        <v>4.0</v>
      </c>
      <c r="AH12" s="19">
        <v>1.0</v>
      </c>
      <c r="AI12" s="19">
        <v>2232.0</v>
      </c>
      <c r="AJ12" s="19">
        <v>1.0</v>
      </c>
      <c r="AK12" s="19">
        <v>0.0</v>
      </c>
      <c r="AL12" s="19">
        <v>0.0</v>
      </c>
      <c r="AM12" s="19">
        <v>0.0</v>
      </c>
      <c r="AN12" s="19">
        <v>0.0</v>
      </c>
      <c r="AO12" s="19">
        <v>0.0</v>
      </c>
      <c r="AP12" s="19">
        <v>0.0</v>
      </c>
      <c r="AQ12" s="19">
        <v>0.0</v>
      </c>
      <c r="AR12" s="19">
        <v>0.0</v>
      </c>
      <c r="AS12" s="19">
        <v>0.0</v>
      </c>
      <c r="AT12" s="19">
        <f>IF(5 = R12, C12 * -1, C12)</f>
        <v>0</v>
      </c>
      <c r="AU12" s="19">
        <f>IF(5 = R12, D12 * -1, D12)</f>
        <v>0</v>
      </c>
      <c r="AV12" s="19">
        <f>IF(5 = R12, E12 * -1, E12)</f>
        <v>0</v>
      </c>
      <c r="AW12" s="19">
        <f>IF(5 = R12, F12 * -1, F12)</f>
        <v>0</v>
      </c>
      <c r="AX12" s="19">
        <f>IF(5 = R12, G12 * -1, G12)</f>
        <v>0</v>
      </c>
      <c r="AY12" s="19">
        <f>IF(5 = R12, H12 * -1, H12)</f>
        <v>0</v>
      </c>
      <c r="AZ12" s="19">
        <f>IF(5 = R12, I12 * -1, I12)</f>
        <v>0</v>
      </c>
      <c r="BA12" s="19">
        <f>IF(5 = R12, J12 * -1, J12)</f>
        <v>-115144</v>
      </c>
      <c r="BB12" s="19">
        <v>0.0</v>
      </c>
      <c r="BC12" s="19">
        <f>IF(5 = R12, K12 * -1, K12)</f>
        <v>0</v>
      </c>
      <c r="BD12" s="19">
        <v>0.0</v>
      </c>
      <c r="BE12" s="19">
        <f>IF(5 = R12, L12 * -1, L12)</f>
        <v>0</v>
      </c>
      <c r="BF12" s="19">
        <f>IF(5 = R12, M12 * -1, M12)</f>
        <v>0</v>
      </c>
      <c r="BG12" s="19">
        <f>IF(5 = R12, N12 * -1, N12)</f>
        <v>0</v>
      </c>
      <c r="BH12" s="19">
        <f>IF(5 = R12, O12 * -1, O12)</f>
        <v>-115144</v>
      </c>
      <c r="BI12" s="19">
        <f>IF(5 = R12, P12 * -1, P12)</f>
        <v>0</v>
      </c>
    </row>
    <row r="13" spans="1:90">
      <c r="A13" s="9" t="s">
        <v>75</v>
      </c>
      <c r="B13" s="18" t="s">
        <v>76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-37091.11</v>
      </c>
      <c r="K13" s="20">
        <v>0.0</v>
      </c>
      <c r="L13" s="20">
        <v>0.0</v>
      </c>
      <c r="M13" s="20">
        <v>0.0</v>
      </c>
      <c r="N13" s="20">
        <v>0.0</v>
      </c>
      <c r="O13" s="20">
        <v>-37091.11</v>
      </c>
      <c r="P13" s="20">
        <v>0.0</v>
      </c>
      <c r="R13" s="19">
        <v>4.0</v>
      </c>
      <c r="V13" s="19">
        <v>100017.0</v>
      </c>
      <c r="W13" s="19">
        <v>100128578.0</v>
      </c>
      <c r="X13" s="18" t="s">
        <v>68</v>
      </c>
      <c r="Y13" s="18" t="s">
        <v>68</v>
      </c>
      <c r="Z13" s="18" t="s">
        <v>69</v>
      </c>
      <c r="AA13" s="18" t="s">
        <v>76</v>
      </c>
      <c r="AB13" s="19">
        <v>4020.6</v>
      </c>
      <c r="AC13" s="19">
        <v>1.0</v>
      </c>
      <c r="AD13" s="19">
        <v>6902.0</v>
      </c>
      <c r="AE13" s="19">
        <v>7.0</v>
      </c>
      <c r="AF13" s="18" t="s">
        <v>70</v>
      </c>
      <c r="AG13" s="19">
        <v>4.0</v>
      </c>
      <c r="AH13" s="19">
        <v>1.0</v>
      </c>
      <c r="AI13" s="19">
        <v>2232.0</v>
      </c>
      <c r="AJ13" s="19">
        <v>1.0</v>
      </c>
      <c r="AK13" s="19">
        <v>0.0</v>
      </c>
      <c r="AL13" s="19">
        <v>0.0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0.0</v>
      </c>
      <c r="AS13" s="19">
        <v>0.0</v>
      </c>
      <c r="AT13" s="19">
        <f>IF(5 = R13, C13 * -1, C13)</f>
        <v>0</v>
      </c>
      <c r="AU13" s="19">
        <f>IF(5 = R13, D13 * -1, D13)</f>
        <v>0</v>
      </c>
      <c r="AV13" s="19">
        <f>IF(5 = R13, E13 * -1, E13)</f>
        <v>0</v>
      </c>
      <c r="AW13" s="19">
        <f>IF(5 = R13, F13 * -1, F13)</f>
        <v>0</v>
      </c>
      <c r="AX13" s="19">
        <f>IF(5 = R13, G13 * -1, G13)</f>
        <v>0</v>
      </c>
      <c r="AY13" s="19">
        <f>IF(5 = R13, H13 * -1, H13)</f>
        <v>0</v>
      </c>
      <c r="AZ13" s="19">
        <f>IF(5 = R13, I13 * -1, I13)</f>
        <v>0</v>
      </c>
      <c r="BA13" s="19">
        <f>IF(5 = R13, J13 * -1, J13)</f>
        <v>-37091.11</v>
      </c>
      <c r="BB13" s="19">
        <v>0.0</v>
      </c>
      <c r="BC13" s="19">
        <f>IF(5 = R13, K13 * -1, K13)</f>
        <v>0</v>
      </c>
      <c r="BD13" s="19">
        <v>0.0</v>
      </c>
      <c r="BE13" s="19">
        <f>IF(5 = R13, L13 * -1, L13)</f>
        <v>0</v>
      </c>
      <c r="BF13" s="19">
        <f>IF(5 = R13, M13 * -1, M13)</f>
        <v>0</v>
      </c>
      <c r="BG13" s="19">
        <f>IF(5 = R13, N13 * -1, N13)</f>
        <v>0</v>
      </c>
      <c r="BH13" s="19">
        <f>IF(5 = R13, O13 * -1, O13)</f>
        <v>-37091.11</v>
      </c>
      <c r="BI13" s="19">
        <f>IF(5 = R13, P13 * -1, P13)</f>
        <v>0</v>
      </c>
    </row>
    <row r="14" spans="1:90">
      <c r="A14" s="9" t="s">
        <v>77</v>
      </c>
      <c r="B14" s="18" t="s">
        <v>78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-3506.19</v>
      </c>
      <c r="K14" s="20">
        <v>0.0</v>
      </c>
      <c r="L14" s="20">
        <v>0.0</v>
      </c>
      <c r="M14" s="20">
        <v>0.0</v>
      </c>
      <c r="N14" s="20">
        <v>0.0</v>
      </c>
      <c r="O14" s="20">
        <v>-3506.19</v>
      </c>
      <c r="P14" s="20">
        <v>0.0</v>
      </c>
      <c r="R14" s="19">
        <v>4.0</v>
      </c>
      <c r="V14" s="19">
        <v>100017.0</v>
      </c>
      <c r="W14" s="19">
        <v>100128578.0</v>
      </c>
      <c r="X14" s="18" t="s">
        <v>68</v>
      </c>
      <c r="Y14" s="18" t="s">
        <v>68</v>
      </c>
      <c r="Z14" s="18" t="s">
        <v>69</v>
      </c>
      <c r="AA14" s="18" t="s">
        <v>78</v>
      </c>
      <c r="AB14" s="19">
        <v>4040.0</v>
      </c>
      <c r="AC14" s="19">
        <v>1.0</v>
      </c>
      <c r="AD14" s="19">
        <v>6366.0</v>
      </c>
      <c r="AE14" s="19">
        <v>9.0</v>
      </c>
      <c r="AF14" s="18" t="s">
        <v>70</v>
      </c>
      <c r="AG14" s="19">
        <v>4.0</v>
      </c>
      <c r="AH14" s="19">
        <v>1.0</v>
      </c>
      <c r="AI14" s="19">
        <v>2232.0</v>
      </c>
      <c r="AJ14" s="19">
        <v>1.0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0.0</v>
      </c>
      <c r="AQ14" s="19">
        <v>0.0</v>
      </c>
      <c r="AR14" s="19">
        <v>0.0</v>
      </c>
      <c r="AS14" s="19">
        <v>0.0</v>
      </c>
      <c r="AT14" s="19">
        <f>IF(5 = R14, C14 * -1, C14)</f>
        <v>0</v>
      </c>
      <c r="AU14" s="19">
        <f>IF(5 = R14, D14 * -1, D14)</f>
        <v>0</v>
      </c>
      <c r="AV14" s="19">
        <f>IF(5 = R14, E14 * -1, E14)</f>
        <v>0</v>
      </c>
      <c r="AW14" s="19">
        <f>IF(5 = R14, F14 * -1, F14)</f>
        <v>0</v>
      </c>
      <c r="AX14" s="19">
        <f>IF(5 = R14, G14 * -1, G14)</f>
        <v>0</v>
      </c>
      <c r="AY14" s="19">
        <f>IF(5 = R14, H14 * -1, H14)</f>
        <v>0</v>
      </c>
      <c r="AZ14" s="19">
        <f>IF(5 = R14, I14 * -1, I14)</f>
        <v>0</v>
      </c>
      <c r="BA14" s="19">
        <f>IF(5 = R14, J14 * -1, J14)</f>
        <v>-3506.19</v>
      </c>
      <c r="BB14" s="19">
        <v>0.0</v>
      </c>
      <c r="BC14" s="19">
        <f>IF(5 = R14, K14 * -1, K14)</f>
        <v>0</v>
      </c>
      <c r="BD14" s="19">
        <v>0.0</v>
      </c>
      <c r="BE14" s="19">
        <f>IF(5 = R14, L14 * -1, L14)</f>
        <v>0</v>
      </c>
      <c r="BF14" s="19">
        <f>IF(5 = R14, M14 * -1, M14)</f>
        <v>0</v>
      </c>
      <c r="BG14" s="19">
        <f>IF(5 = R14, N14 * -1, N14)</f>
        <v>0</v>
      </c>
      <c r="BH14" s="19">
        <f>IF(5 = R14, O14 * -1, O14)</f>
        <v>-3506.19</v>
      </c>
      <c r="BI14" s="19">
        <f>IF(5 = R14, P14 * -1, P14)</f>
        <v>0</v>
      </c>
    </row>
    <row r="15" spans="1:90">
      <c r="A15" s="9" t="s">
        <v>79</v>
      </c>
      <c r="B15" s="18" t="s">
        <v>80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2530.32</v>
      </c>
      <c r="K15" s="20">
        <v>2405.0</v>
      </c>
      <c r="L15" s="20">
        <v>2556.96</v>
      </c>
      <c r="M15" s="20">
        <v>2506.45</v>
      </c>
      <c r="N15" s="20">
        <v>2590.0</v>
      </c>
      <c r="O15" s="20">
        <v>12588.73</v>
      </c>
      <c r="P15" s="20">
        <v>10058.41</v>
      </c>
      <c r="R15" s="19">
        <v>4.0</v>
      </c>
      <c r="V15" s="19">
        <v>100017.0</v>
      </c>
      <c r="W15" s="19">
        <v>100128578.0</v>
      </c>
      <c r="X15" s="18" t="s">
        <v>68</v>
      </c>
      <c r="Y15" s="18" t="s">
        <v>68</v>
      </c>
      <c r="Z15" s="18" t="s">
        <v>69</v>
      </c>
      <c r="AA15" s="18" t="s">
        <v>80</v>
      </c>
      <c r="AB15" s="19">
        <v>4050.0</v>
      </c>
      <c r="AC15" s="19">
        <v>1.0</v>
      </c>
      <c r="AD15" s="19">
        <v>6367.0</v>
      </c>
      <c r="AE15" s="19">
        <v>10.0</v>
      </c>
      <c r="AF15" s="18" t="s">
        <v>70</v>
      </c>
      <c r="AG15" s="19">
        <v>4.0</v>
      </c>
      <c r="AH15" s="19">
        <v>1.0</v>
      </c>
      <c r="AI15" s="19">
        <v>2232.0</v>
      </c>
      <c r="AJ15" s="19">
        <v>5.0</v>
      </c>
      <c r="AK15" s="19">
        <v>0.0</v>
      </c>
      <c r="AL15" s="19">
        <v>0.0</v>
      </c>
      <c r="AM15" s="19">
        <v>0.0</v>
      </c>
      <c r="AN15" s="19">
        <v>0.0</v>
      </c>
      <c r="AO15" s="19">
        <v>0.0</v>
      </c>
      <c r="AP15" s="19">
        <v>0.0</v>
      </c>
      <c r="AQ15" s="19">
        <v>2556.96</v>
      </c>
      <c r="AR15" s="19">
        <v>1.0</v>
      </c>
      <c r="AS15" s="19">
        <v>0.0</v>
      </c>
      <c r="AT15" s="19">
        <f>IF(5 = R15, C15 * -1, C15)</f>
        <v>0</v>
      </c>
      <c r="AU15" s="19">
        <f>IF(5 = R15, D15 * -1, D15)</f>
        <v>0</v>
      </c>
      <c r="AV15" s="19">
        <f>IF(5 = R15, E15 * -1, E15)</f>
        <v>0</v>
      </c>
      <c r="AW15" s="19">
        <f>IF(5 = R15, F15 * -1, F15)</f>
        <v>0</v>
      </c>
      <c r="AX15" s="19">
        <f>IF(5 = R15, G15 * -1, G15)</f>
        <v>0</v>
      </c>
      <c r="AY15" s="19">
        <f>IF(5 = R15, H15 * -1, H15)</f>
        <v>0</v>
      </c>
      <c r="AZ15" s="19">
        <f>IF(5 = R15, I15 * -1, I15)</f>
        <v>0</v>
      </c>
      <c r="BA15" s="19">
        <f>IF(5 = R15, J15 * -1, J15)</f>
        <v>2530.32</v>
      </c>
      <c r="BB15" s="19">
        <v>2405.0</v>
      </c>
      <c r="BC15" s="19">
        <f>IF(5 = R15, K15 * -1, K15)</f>
        <v>2405</v>
      </c>
      <c r="BD15" s="19">
        <v>2556.96</v>
      </c>
      <c r="BE15" s="19">
        <f>IF(5 = R15, L15 * -1, L15)</f>
        <v>2556.96</v>
      </c>
      <c r="BF15" s="19">
        <f>IF(5 = R15, M15 * -1, M15)</f>
        <v>2506.45</v>
      </c>
      <c r="BG15" s="19">
        <f>IF(5 = R15, N15 * -1, N15)</f>
        <v>2590</v>
      </c>
      <c r="BH15" s="19">
        <f>IF(5 = R15, O15 * -1, O15)</f>
        <v>12588.73</v>
      </c>
      <c r="BI15" s="19">
        <f>IF(5 = R15, P15 * -1, P15)</f>
        <v>10058.41</v>
      </c>
    </row>
    <row r="16" spans="1:90">
      <c r="A16" s="9" t="s">
        <v>81</v>
      </c>
      <c r="B16" s="18" t="s">
        <v>82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6281.45</v>
      </c>
      <c r="K16" s="20">
        <v>437.41</v>
      </c>
      <c r="L16" s="20">
        <v>440.0</v>
      </c>
      <c r="M16" s="20">
        <v>405.16</v>
      </c>
      <c r="N16" s="20">
        <v>380.0</v>
      </c>
      <c r="O16" s="20">
        <v>7944.02</v>
      </c>
      <c r="P16" s="20">
        <v>1662.57</v>
      </c>
      <c r="R16" s="19">
        <v>4.0</v>
      </c>
      <c r="V16" s="19">
        <v>100017.0</v>
      </c>
      <c r="W16" s="19">
        <v>100128578.0</v>
      </c>
      <c r="X16" s="18" t="s">
        <v>68</v>
      </c>
      <c r="Y16" s="18" t="s">
        <v>68</v>
      </c>
      <c r="Z16" s="18" t="s">
        <v>69</v>
      </c>
      <c r="AA16" s="18" t="s">
        <v>82</v>
      </c>
      <c r="AB16" s="19">
        <v>4070.0</v>
      </c>
      <c r="AC16" s="19">
        <v>1.0</v>
      </c>
      <c r="AD16" s="19">
        <v>6369.0</v>
      </c>
      <c r="AE16" s="19">
        <v>12.0</v>
      </c>
      <c r="AF16" s="18" t="s">
        <v>70</v>
      </c>
      <c r="AG16" s="19">
        <v>4.0</v>
      </c>
      <c r="AH16" s="19">
        <v>1.0</v>
      </c>
      <c r="AI16" s="19">
        <v>2232.0</v>
      </c>
      <c r="AJ16" s="19">
        <v>6.0</v>
      </c>
      <c r="AK16" s="19">
        <v>0.0</v>
      </c>
      <c r="AL16" s="19">
        <v>0.0</v>
      </c>
      <c r="AM16" s="19">
        <v>0.0</v>
      </c>
      <c r="AN16" s="19">
        <v>0.0</v>
      </c>
      <c r="AO16" s="19">
        <v>0.0</v>
      </c>
      <c r="AP16" s="19">
        <v>0.0</v>
      </c>
      <c r="AQ16" s="19">
        <v>440.0</v>
      </c>
      <c r="AR16" s="19">
        <v>1.0</v>
      </c>
      <c r="AS16" s="19">
        <v>0.0</v>
      </c>
      <c r="AT16" s="19">
        <f>IF(5 = R16, C16 * -1, C16)</f>
        <v>0</v>
      </c>
      <c r="AU16" s="19">
        <f>IF(5 = R16, D16 * -1, D16)</f>
        <v>0</v>
      </c>
      <c r="AV16" s="19">
        <f>IF(5 = R16, E16 * -1, E16)</f>
        <v>0</v>
      </c>
      <c r="AW16" s="19">
        <f>IF(5 = R16, F16 * -1, F16)</f>
        <v>0</v>
      </c>
      <c r="AX16" s="19">
        <f>IF(5 = R16, G16 * -1, G16)</f>
        <v>0</v>
      </c>
      <c r="AY16" s="19">
        <f>IF(5 = R16, H16 * -1, H16)</f>
        <v>0</v>
      </c>
      <c r="AZ16" s="19">
        <f>IF(5 = R16, I16 * -1, I16)</f>
        <v>0</v>
      </c>
      <c r="BA16" s="19">
        <f>IF(5 = R16, J16 * -1, J16)</f>
        <v>6281.45</v>
      </c>
      <c r="BB16" s="19">
        <v>437.41</v>
      </c>
      <c r="BC16" s="19">
        <f>IF(5 = R16, K16 * -1, K16)</f>
        <v>437.41</v>
      </c>
      <c r="BD16" s="19">
        <v>440.0</v>
      </c>
      <c r="BE16" s="19">
        <f>IF(5 = R16, L16 * -1, L16)</f>
        <v>440</v>
      </c>
      <c r="BF16" s="19">
        <f>IF(5 = R16, M16 * -1, M16)</f>
        <v>405.16</v>
      </c>
      <c r="BG16" s="19">
        <f>IF(5 = R16, N16 * -1, N16)</f>
        <v>380</v>
      </c>
      <c r="BH16" s="19">
        <f>IF(5 = R16, O16 * -1, O16)</f>
        <v>7944.02</v>
      </c>
      <c r="BI16" s="19">
        <f>IF(5 = R16, P16 * -1, P16)</f>
        <v>1662.57</v>
      </c>
    </row>
    <row r="17" spans="1:90">
      <c r="A17" s="9" t="s">
        <v>83</v>
      </c>
      <c r="B17" s="18" t="s">
        <v>84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-682.0</v>
      </c>
      <c r="K17" s="20">
        <v>0.0</v>
      </c>
      <c r="L17" s="20">
        <v>0.0</v>
      </c>
      <c r="M17" s="20">
        <v>-1349.0</v>
      </c>
      <c r="N17" s="20">
        <v>-6028.0</v>
      </c>
      <c r="O17" s="20">
        <v>-8059.0</v>
      </c>
      <c r="P17" s="20">
        <v>-7377.0</v>
      </c>
      <c r="R17" s="19">
        <v>4.0</v>
      </c>
      <c r="V17" s="19">
        <v>100017.0</v>
      </c>
      <c r="W17" s="19">
        <v>100128578.0</v>
      </c>
      <c r="X17" s="18" t="s">
        <v>68</v>
      </c>
      <c r="Y17" s="18" t="s">
        <v>68</v>
      </c>
      <c r="Z17" s="18" t="s">
        <v>69</v>
      </c>
      <c r="AA17" s="18" t="s">
        <v>84</v>
      </c>
      <c r="AB17" s="19">
        <v>4210.0</v>
      </c>
      <c r="AC17" s="19">
        <v>1.0</v>
      </c>
      <c r="AD17" s="19">
        <v>6374.0</v>
      </c>
      <c r="AE17" s="19">
        <v>17.0</v>
      </c>
      <c r="AF17" s="18" t="s">
        <v>70</v>
      </c>
      <c r="AG17" s="19">
        <v>4.0</v>
      </c>
      <c r="AH17" s="19">
        <v>1.0</v>
      </c>
      <c r="AI17" s="19">
        <v>2232.0</v>
      </c>
      <c r="AJ17" s="19">
        <v>3.0</v>
      </c>
      <c r="AK17" s="19">
        <v>0.0</v>
      </c>
      <c r="AL17" s="19">
        <v>0.0</v>
      </c>
      <c r="AM17" s="19">
        <v>0.0</v>
      </c>
      <c r="AN17" s="19">
        <v>0.0</v>
      </c>
      <c r="AO17" s="19">
        <v>0.0</v>
      </c>
      <c r="AP17" s="19">
        <v>0.0</v>
      </c>
      <c r="AQ17" s="19">
        <v>0.0</v>
      </c>
      <c r="AR17" s="19">
        <v>1.0</v>
      </c>
      <c r="AS17" s="19">
        <v>0.0</v>
      </c>
      <c r="AT17" s="19">
        <f>IF(5 = R17, C17 * -1, C17)</f>
        <v>0</v>
      </c>
      <c r="AU17" s="19">
        <f>IF(5 = R17, D17 * -1, D17)</f>
        <v>0</v>
      </c>
      <c r="AV17" s="19">
        <f>IF(5 = R17, E17 * -1, E17)</f>
        <v>0</v>
      </c>
      <c r="AW17" s="19">
        <f>IF(5 = R17, F17 * -1, F17)</f>
        <v>0</v>
      </c>
      <c r="AX17" s="19">
        <f>IF(5 = R17, G17 * -1, G17)</f>
        <v>0</v>
      </c>
      <c r="AY17" s="19">
        <f>IF(5 = R17, H17 * -1, H17)</f>
        <v>0</v>
      </c>
      <c r="AZ17" s="19">
        <f>IF(5 = R17, I17 * -1, I17)</f>
        <v>0</v>
      </c>
      <c r="BA17" s="19">
        <f>IF(5 = R17, J17 * -1, J17)</f>
        <v>-682</v>
      </c>
      <c r="BB17" s="19">
        <v>0.0</v>
      </c>
      <c r="BC17" s="19">
        <f>IF(5 = R17, K17 * -1, K17)</f>
        <v>0</v>
      </c>
      <c r="BD17" s="19">
        <v>0.0</v>
      </c>
      <c r="BE17" s="19">
        <f>IF(5 = R17, L17 * -1, L17)</f>
        <v>0</v>
      </c>
      <c r="BF17" s="19">
        <f>IF(5 = R17, M17 * -1, M17)</f>
        <v>-1349</v>
      </c>
      <c r="BG17" s="19">
        <f>IF(5 = R17, N17 * -1, N17)</f>
        <v>-6028</v>
      </c>
      <c r="BH17" s="19">
        <f>IF(5 = R17, O17 * -1, O17)</f>
        <v>-8059</v>
      </c>
      <c r="BI17" s="19">
        <f>IF(5 = R17, P17 * -1, P17)</f>
        <v>-7377</v>
      </c>
    </row>
    <row r="18" spans="1:90">
      <c r="A18" s="9" t="s">
        <v>85</v>
      </c>
      <c r="B18" s="18" t="s">
        <v>86</v>
      </c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-585.0</v>
      </c>
      <c r="K18" s="20">
        <v>0.0</v>
      </c>
      <c r="L18" s="20">
        <v>0.0</v>
      </c>
      <c r="M18" s="20">
        <v>0.0</v>
      </c>
      <c r="N18" s="20">
        <v>0.0</v>
      </c>
      <c r="O18" s="20">
        <v>-585.0</v>
      </c>
      <c r="P18" s="20">
        <v>0.0</v>
      </c>
      <c r="R18" s="19">
        <v>4.0</v>
      </c>
      <c r="V18" s="19">
        <v>100017.0</v>
      </c>
      <c r="W18" s="19">
        <v>100128578.0</v>
      </c>
      <c r="X18" s="18" t="s">
        <v>68</v>
      </c>
      <c r="Y18" s="18" t="s">
        <v>68</v>
      </c>
      <c r="Z18" s="18" t="s">
        <v>69</v>
      </c>
      <c r="AA18" s="18" t="s">
        <v>86</v>
      </c>
      <c r="AB18" s="19">
        <v>4240.0</v>
      </c>
      <c r="AC18" s="19">
        <v>1.0</v>
      </c>
      <c r="AD18" s="19">
        <v>6378.0</v>
      </c>
      <c r="AE18" s="19">
        <v>20.0</v>
      </c>
      <c r="AF18" s="18" t="s">
        <v>70</v>
      </c>
      <c r="AG18" s="19">
        <v>4.0</v>
      </c>
      <c r="AH18" s="19">
        <v>1.0</v>
      </c>
      <c r="AI18" s="19">
        <v>2232.0</v>
      </c>
      <c r="AJ18" s="19">
        <v>1.0</v>
      </c>
      <c r="AK18" s="19">
        <v>0.0</v>
      </c>
      <c r="AL18" s="19">
        <v>0.0</v>
      </c>
      <c r="AM18" s="19">
        <v>0.0</v>
      </c>
      <c r="AN18" s="19">
        <v>0.0</v>
      </c>
      <c r="AO18" s="19">
        <v>0.0</v>
      </c>
      <c r="AP18" s="19">
        <v>0.0</v>
      </c>
      <c r="AQ18" s="19">
        <v>0.0</v>
      </c>
      <c r="AR18" s="19">
        <v>0.0</v>
      </c>
      <c r="AS18" s="19">
        <v>0.0</v>
      </c>
      <c r="AT18" s="19">
        <f>IF(5 = R18, C18 * -1, C18)</f>
        <v>0</v>
      </c>
      <c r="AU18" s="19">
        <f>IF(5 = R18, D18 * -1, D18)</f>
        <v>0</v>
      </c>
      <c r="AV18" s="19">
        <f>IF(5 = R18, E18 * -1, E18)</f>
        <v>0</v>
      </c>
      <c r="AW18" s="19">
        <f>IF(5 = R18, F18 * -1, F18)</f>
        <v>0</v>
      </c>
      <c r="AX18" s="19">
        <f>IF(5 = R18, G18 * -1, G18)</f>
        <v>0</v>
      </c>
      <c r="AY18" s="19">
        <f>IF(5 = R18, H18 * -1, H18)</f>
        <v>0</v>
      </c>
      <c r="AZ18" s="19">
        <f>IF(5 = R18, I18 * -1, I18)</f>
        <v>0</v>
      </c>
      <c r="BA18" s="19">
        <f>IF(5 = R18, J18 * -1, J18)</f>
        <v>-585</v>
      </c>
      <c r="BB18" s="19">
        <v>0.0</v>
      </c>
      <c r="BC18" s="19">
        <f>IF(5 = R18, K18 * -1, K18)</f>
        <v>0</v>
      </c>
      <c r="BD18" s="19">
        <v>0.0</v>
      </c>
      <c r="BE18" s="19">
        <f>IF(5 = R18, L18 * -1, L18)</f>
        <v>0</v>
      </c>
      <c r="BF18" s="19">
        <f>IF(5 = R18, M18 * -1, M18)</f>
        <v>0</v>
      </c>
      <c r="BG18" s="19">
        <f>IF(5 = R18, N18 * -1, N18)</f>
        <v>0</v>
      </c>
      <c r="BH18" s="19">
        <f>IF(5 = R18, O18 * -1, O18)</f>
        <v>-585</v>
      </c>
      <c r="BI18" s="19">
        <f>IF(5 = R18, P18 * -1, P18)</f>
        <v>0</v>
      </c>
    </row>
    <row r="19" spans="1:90">
      <c r="A19" s="9" t="s">
        <v>87</v>
      </c>
      <c r="B19" s="18" t="s">
        <v>88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-213.42</v>
      </c>
      <c r="K19" s="20">
        <v>-3087.39</v>
      </c>
      <c r="L19" s="20">
        <v>-3228.63</v>
      </c>
      <c r="M19" s="20">
        <v>-4955.75</v>
      </c>
      <c r="N19" s="20">
        <v>0.0</v>
      </c>
      <c r="O19" s="20">
        <v>-11485.19</v>
      </c>
      <c r="P19" s="20">
        <v>-11271.77</v>
      </c>
      <c r="R19" s="19">
        <v>4.0</v>
      </c>
      <c r="V19" s="19">
        <v>100017.0</v>
      </c>
      <c r="W19" s="19">
        <v>100128578.0</v>
      </c>
      <c r="X19" s="18" t="s">
        <v>68</v>
      </c>
      <c r="Y19" s="18" t="s">
        <v>68</v>
      </c>
      <c r="Z19" s="18" t="s">
        <v>69</v>
      </c>
      <c r="AA19" s="18" t="s">
        <v>88</v>
      </c>
      <c r="AB19" s="19">
        <v>4290.0</v>
      </c>
      <c r="AC19" s="19">
        <v>1.0</v>
      </c>
      <c r="AD19" s="19">
        <v>6380.0</v>
      </c>
      <c r="AE19" s="19">
        <v>22.0</v>
      </c>
      <c r="AF19" s="18" t="s">
        <v>70</v>
      </c>
      <c r="AG19" s="19">
        <v>4.0</v>
      </c>
      <c r="AH19" s="19">
        <v>1.0</v>
      </c>
      <c r="AI19" s="19">
        <v>2232.0</v>
      </c>
      <c r="AJ19" s="19">
        <v>5.0</v>
      </c>
      <c r="AK19" s="19">
        <v>0.0</v>
      </c>
      <c r="AL19" s="19">
        <v>0.0</v>
      </c>
      <c r="AM19" s="19">
        <v>0.0</v>
      </c>
      <c r="AN19" s="19">
        <v>0.0</v>
      </c>
      <c r="AO19" s="19">
        <v>0.0</v>
      </c>
      <c r="AP19" s="19">
        <v>0.0</v>
      </c>
      <c r="AQ19" s="19">
        <v>-3228.63</v>
      </c>
      <c r="AR19" s="19">
        <v>0.0</v>
      </c>
      <c r="AS19" s="19">
        <v>0.0</v>
      </c>
      <c r="AT19" s="19">
        <f>IF(5 = R19, C19 * -1, C19)</f>
        <v>0</v>
      </c>
      <c r="AU19" s="19">
        <f>IF(5 = R19, D19 * -1, D19)</f>
        <v>0</v>
      </c>
      <c r="AV19" s="19">
        <f>IF(5 = R19, E19 * -1, E19)</f>
        <v>0</v>
      </c>
      <c r="AW19" s="19">
        <f>IF(5 = R19, F19 * -1, F19)</f>
        <v>0</v>
      </c>
      <c r="AX19" s="19">
        <f>IF(5 = R19, G19 * -1, G19)</f>
        <v>0</v>
      </c>
      <c r="AY19" s="19">
        <f>IF(5 = R19, H19 * -1, H19)</f>
        <v>0</v>
      </c>
      <c r="AZ19" s="19">
        <f>IF(5 = R19, I19 * -1, I19)</f>
        <v>0</v>
      </c>
      <c r="BA19" s="19">
        <f>IF(5 = R19, J19 * -1, J19)</f>
        <v>-213.42</v>
      </c>
      <c r="BB19" s="19">
        <v>-3087.39</v>
      </c>
      <c r="BC19" s="19">
        <f>IF(5 = R19, K19 * -1, K19)</f>
        <v>-3087.39</v>
      </c>
      <c r="BD19" s="19">
        <v>-3228.63</v>
      </c>
      <c r="BE19" s="19">
        <f>IF(5 = R19, L19 * -1, L19)</f>
        <v>-3228.63</v>
      </c>
      <c r="BF19" s="19">
        <f>IF(5 = R19, M19 * -1, M19)</f>
        <v>-4955.75</v>
      </c>
      <c r="BG19" s="19">
        <f>IF(5 = R19, N19 * -1, N19)</f>
        <v>0</v>
      </c>
      <c r="BH19" s="19">
        <f>IF(5 = R19, O19 * -1, O19)</f>
        <v>-11485.19</v>
      </c>
      <c r="BI19" s="19">
        <f>IF(5 = R19, P19 * -1, P19)</f>
        <v>-11271.77</v>
      </c>
    </row>
    <row r="20" spans="1:90">
      <c r="A20" s="9" t="s">
        <v>89</v>
      </c>
      <c r="B20" s="18" t="s">
        <v>90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1107.44</v>
      </c>
      <c r="M20" s="20">
        <v>214.9</v>
      </c>
      <c r="N20" s="20">
        <v>0.0</v>
      </c>
      <c r="O20" s="20">
        <v>1322.34</v>
      </c>
      <c r="P20" s="20">
        <v>1322.34</v>
      </c>
      <c r="R20" s="19">
        <v>4.0</v>
      </c>
      <c r="V20" s="19">
        <v>100017.0</v>
      </c>
      <c r="W20" s="19">
        <v>100128578.0</v>
      </c>
      <c r="X20" s="18" t="s">
        <v>68</v>
      </c>
      <c r="Y20" s="18" t="s">
        <v>68</v>
      </c>
      <c r="Z20" s="18" t="s">
        <v>69</v>
      </c>
      <c r="AA20" s="18" t="s">
        <v>90</v>
      </c>
      <c r="AB20" s="19">
        <v>4291.0</v>
      </c>
      <c r="AC20" s="19">
        <v>1.0</v>
      </c>
      <c r="AD20" s="19">
        <v>6381.0</v>
      </c>
      <c r="AE20" s="19">
        <v>23.0</v>
      </c>
      <c r="AF20" s="18" t="s">
        <v>70</v>
      </c>
      <c r="AG20" s="19">
        <v>4.0</v>
      </c>
      <c r="AH20" s="19">
        <v>1.0</v>
      </c>
      <c r="AI20" s="19">
        <v>2232.0</v>
      </c>
      <c r="AJ20" s="19">
        <v>2.0</v>
      </c>
      <c r="AK20" s="19">
        <v>0.0</v>
      </c>
      <c r="AL20" s="19">
        <v>0.0</v>
      </c>
      <c r="AM20" s="19">
        <v>0.0</v>
      </c>
      <c r="AN20" s="19">
        <v>0.0</v>
      </c>
      <c r="AO20" s="19">
        <v>0.0</v>
      </c>
      <c r="AP20" s="19">
        <v>0.0</v>
      </c>
      <c r="AQ20" s="19">
        <v>1107.44</v>
      </c>
      <c r="AR20" s="19">
        <v>0.0</v>
      </c>
      <c r="AS20" s="19">
        <v>0.0</v>
      </c>
      <c r="AT20" s="19">
        <f>IF(5 = R20, C20 * -1, C20)</f>
        <v>0</v>
      </c>
      <c r="AU20" s="19">
        <f>IF(5 = R20, D20 * -1, D20)</f>
        <v>0</v>
      </c>
      <c r="AV20" s="19">
        <f>IF(5 = R20, E20 * -1, E20)</f>
        <v>0</v>
      </c>
      <c r="AW20" s="19">
        <f>IF(5 = R20, F20 * -1, F20)</f>
        <v>0</v>
      </c>
      <c r="AX20" s="19">
        <f>IF(5 = R20, G20 * -1, G20)</f>
        <v>0</v>
      </c>
      <c r="AY20" s="19">
        <f>IF(5 = R20, H20 * -1, H20)</f>
        <v>0</v>
      </c>
      <c r="AZ20" s="19">
        <f>IF(5 = R20, I20 * -1, I20)</f>
        <v>0</v>
      </c>
      <c r="BA20" s="19">
        <f>IF(5 = R20, J20 * -1, J20)</f>
        <v>0</v>
      </c>
      <c r="BB20" s="19">
        <v>0.0</v>
      </c>
      <c r="BC20" s="19">
        <f>IF(5 = R20, K20 * -1, K20)</f>
        <v>0</v>
      </c>
      <c r="BD20" s="19">
        <v>1107.44</v>
      </c>
      <c r="BE20" s="19">
        <f>IF(5 = R20, L20 * -1, L20)</f>
        <v>1107.44</v>
      </c>
      <c r="BF20" s="19">
        <f>IF(5 = R20, M20 * -1, M20)</f>
        <v>214.9</v>
      </c>
      <c r="BG20" s="19">
        <f>IF(5 = R20, N20 * -1, N20)</f>
        <v>0</v>
      </c>
      <c r="BH20" s="19">
        <f>IF(5 = R20, O20 * -1, O20)</f>
        <v>1322.34</v>
      </c>
      <c r="BI20" s="19">
        <f>IF(5 = R20, P20 * -1, P20)</f>
        <v>1322.34</v>
      </c>
    </row>
    <row r="21" spans="1:90">
      <c r="B21" s="7" t="s">
        <v>65</v>
      </c>
      <c r="C21" s="12">
        <f>IF(5 = R21, AT21 * -1, AT21)</f>
        <v>0</v>
      </c>
      <c r="D21" s="12">
        <f>IF(5 = R21, AU21 * -1, AU21)</f>
        <v>0</v>
      </c>
      <c r="E21" s="12">
        <f>IF(5 = R21, AV21 * -1, AV21)</f>
        <v>0</v>
      </c>
      <c r="F21" s="12">
        <f>IF(5 = R21, AW21 * -1, AW21)</f>
        <v>0</v>
      </c>
      <c r="G21" s="12">
        <f>IF(5 = R21, AX21 * -1, AX21)</f>
        <v>0</v>
      </c>
      <c r="H21" s="12">
        <f>IF(5 = R21, AY21 * -1, AY21)</f>
        <v>0</v>
      </c>
      <c r="I21" s="12">
        <f>IF(5 = R21, AZ21 * -1, AZ21)</f>
        <v>28630.93</v>
      </c>
      <c r="J21" s="12">
        <f>IF(5 = R21, BA21 * -1, BA21)</f>
        <v>1268262.01</v>
      </c>
      <c r="K21" s="12">
        <f>IF(5 = R21, BC21 * -1, BC21)</f>
        <v>78147.28</v>
      </c>
      <c r="L21" s="12">
        <f>IF(5 = R21, BE21 * -1, BE21)</f>
        <v>79928.17</v>
      </c>
      <c r="M21" s="12">
        <f>IF(5 = R21, BF21 * -1, BF21)</f>
        <v>77873.14</v>
      </c>
      <c r="N21" s="12">
        <f>IF(5 = R21, BG21 * -1, BG21)</f>
        <v>80803.27</v>
      </c>
      <c r="O21" s="12">
        <f>IF(5 = R21, BH21 * -1, BH21)</f>
        <v>1613644.8</v>
      </c>
      <c r="P21" s="12">
        <f>IF(5 = R21, BI21 * -1, BI21)</f>
        <v>316751.86</v>
      </c>
      <c r="R21" s="11">
        <v>4</v>
      </c>
      <c r="S21" s="13">
        <f>S20</f>
        <v>0</v>
      </c>
      <c r="T21" s="13">
        <f>T20</f>
        <v>0</v>
      </c>
      <c r="U21" s="11">
        <f>U20</f>
        <v>0</v>
      </c>
      <c r="V21" s="19"/>
      <c r="W21" s="19"/>
      <c r="X21" s="18"/>
      <c r="Y21" s="18"/>
      <c r="Z21" s="18"/>
      <c r="AA21" s="18"/>
      <c r="AB21" s="19"/>
      <c r="AC21" s="19"/>
      <c r="AD21" s="19"/>
      <c r="AE21" s="19"/>
      <c r="AF21" s="18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1">
        <f>SUM(AT10:AT20)</f>
        <v>0</v>
      </c>
      <c r="AU21" s="11">
        <f>SUM(AU10:AU20)</f>
        <v>0</v>
      </c>
      <c r="AV21" s="11">
        <f>SUM(AV10:AV20)</f>
        <v>0</v>
      </c>
      <c r="AW21" s="11">
        <f>SUM(AW10:AW20)</f>
        <v>0</v>
      </c>
      <c r="AX21" s="11">
        <f>SUM(AX10:AX20)</f>
        <v>0</v>
      </c>
      <c r="AY21" s="11">
        <f>SUM(AY10:AY20)</f>
        <v>0</v>
      </c>
      <c r="AZ21" s="11">
        <f>SUM(AZ10:AZ20)</f>
        <v>28630.93</v>
      </c>
      <c r="BA21" s="11">
        <f>SUM(BA10:BA20)</f>
        <v>1268262.01</v>
      </c>
      <c r="BB21" s="19"/>
      <c r="BC21" s="11">
        <f>SUM(BC10:BC20)</f>
        <v>78147.28</v>
      </c>
      <c r="BD21" s="19"/>
      <c r="BE21" s="11">
        <f>SUM(BE10:BE20)</f>
        <v>79928.17</v>
      </c>
      <c r="BF21" s="11">
        <f>SUM(BF10:BF20)</f>
        <v>77873.14</v>
      </c>
      <c r="BG21" s="11">
        <f>SUM(BG10:BG20)</f>
        <v>80803.27</v>
      </c>
      <c r="BH21" s="11">
        <f>SUM(BH10:BH20)</f>
        <v>1613644.8</v>
      </c>
      <c r="BI21" s="11">
        <f>SUM(BI10:BI20)</f>
        <v>316751.86</v>
      </c>
    </row>
    <row r="22" spans="1:90">
      <c r="B22" s="18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R22" s="19"/>
      <c r="V22" s="19"/>
      <c r="W22" s="19"/>
      <c r="X22" s="18"/>
      <c r="Y22" s="18"/>
      <c r="Z22" s="18"/>
      <c r="AA22" s="18"/>
      <c r="AB22" s="19"/>
      <c r="AC22" s="19"/>
      <c r="AD22" s="19"/>
      <c r="AE22" s="19"/>
      <c r="AF22" s="18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</row>
    <row r="23" spans="1:90">
      <c r="A23" s="8" t="s">
        <v>91</v>
      </c>
      <c r="B23" s="18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R23" s="19"/>
      <c r="V23" s="19"/>
      <c r="W23" s="19"/>
      <c r="X23" s="18"/>
      <c r="Y23" s="18"/>
      <c r="Z23" s="18"/>
      <c r="AA23" s="18"/>
      <c r="AB23" s="19"/>
      <c r="AC23" s="19"/>
      <c r="AD23" s="19"/>
      <c r="AE23" s="19"/>
      <c r="AF23" s="18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</row>
    <row r="24" spans="1:90">
      <c r="A24" s="9" t="s">
        <v>92</v>
      </c>
      <c r="B24" s="18" t="s">
        <v>93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-659.45</v>
      </c>
      <c r="K24" s="20">
        <v>0.0</v>
      </c>
      <c r="L24" s="20">
        <v>0.0</v>
      </c>
      <c r="M24" s="20">
        <v>0.0</v>
      </c>
      <c r="N24" s="20">
        <v>0.0</v>
      </c>
      <c r="O24" s="20">
        <v>-659.45</v>
      </c>
      <c r="P24" s="20">
        <v>0.0</v>
      </c>
      <c r="R24" s="19">
        <v>4.0</v>
      </c>
      <c r="V24" s="19">
        <v>100017.0</v>
      </c>
      <c r="W24" s="19">
        <v>100128578.0</v>
      </c>
      <c r="X24" s="18" t="s">
        <v>94</v>
      </c>
      <c r="Y24" s="18" t="s">
        <v>94</v>
      </c>
      <c r="Z24" s="18" t="s">
        <v>95</v>
      </c>
      <c r="AA24" s="18" t="s">
        <v>93</v>
      </c>
      <c r="AB24" s="19">
        <v>4660.0</v>
      </c>
      <c r="AC24" s="19">
        <v>1.0</v>
      </c>
      <c r="AD24" s="19">
        <v>6389.0</v>
      </c>
      <c r="AE24" s="19">
        <v>0.0</v>
      </c>
      <c r="AF24" s="18" t="s">
        <v>70</v>
      </c>
      <c r="AG24" s="19">
        <v>4.0</v>
      </c>
      <c r="AH24" s="19">
        <v>1.0</v>
      </c>
      <c r="AI24" s="19">
        <v>2312.0</v>
      </c>
      <c r="AJ24" s="19">
        <v>1.0</v>
      </c>
      <c r="AK24" s="19">
        <v>0.0</v>
      </c>
      <c r="AL24" s="19">
        <v>0.0</v>
      </c>
      <c r="AM24" s="19">
        <v>0.0</v>
      </c>
      <c r="AN24" s="19">
        <v>0.0</v>
      </c>
      <c r="AO24" s="19">
        <v>0.0</v>
      </c>
      <c r="AP24" s="19">
        <v>0.0</v>
      </c>
      <c r="AQ24" s="19">
        <v>0.0</v>
      </c>
      <c r="AR24" s="19">
        <v>0.0</v>
      </c>
      <c r="AS24" s="19">
        <v>0.0</v>
      </c>
      <c r="AT24" s="19">
        <f>IF(5 = R24, C24 * -1, C24)</f>
        <v>0</v>
      </c>
      <c r="AU24" s="19">
        <f>IF(5 = R24, D24 * -1, D24)</f>
        <v>0</v>
      </c>
      <c r="AV24" s="19">
        <f>IF(5 = R24, E24 * -1, E24)</f>
        <v>0</v>
      </c>
      <c r="AW24" s="19">
        <f>IF(5 = R24, F24 * -1, F24)</f>
        <v>0</v>
      </c>
      <c r="AX24" s="19">
        <f>IF(5 = R24, G24 * -1, G24)</f>
        <v>0</v>
      </c>
      <c r="AY24" s="19">
        <f>IF(5 = R24, H24 * -1, H24)</f>
        <v>0</v>
      </c>
      <c r="AZ24" s="19">
        <f>IF(5 = R24, I24 * -1, I24)</f>
        <v>0</v>
      </c>
      <c r="BA24" s="19">
        <f>IF(5 = R24, J24 * -1, J24)</f>
        <v>-659.45</v>
      </c>
      <c r="BB24" s="19">
        <v>0.0</v>
      </c>
      <c r="BC24" s="19">
        <f>IF(5 = R24, K24 * -1, K24)</f>
        <v>0</v>
      </c>
      <c r="BD24" s="19">
        <v>0.0</v>
      </c>
      <c r="BE24" s="19">
        <f>IF(5 = R24, L24 * -1, L24)</f>
        <v>0</v>
      </c>
      <c r="BF24" s="19">
        <f>IF(5 = R24, M24 * -1, M24)</f>
        <v>0</v>
      </c>
      <c r="BG24" s="19">
        <f>IF(5 = R24, N24 * -1, N24)</f>
        <v>0</v>
      </c>
      <c r="BH24" s="19">
        <f>IF(5 = R24, O24 * -1, O24)</f>
        <v>-659.45</v>
      </c>
      <c r="BI24" s="19">
        <f>IF(5 = R24, P24 * -1, P24)</f>
        <v>0</v>
      </c>
    </row>
    <row r="25" spans="1:90">
      <c r="A25" s="9" t="s">
        <v>96</v>
      </c>
      <c r="B25" s="18" t="s">
        <v>97</v>
      </c>
      <c r="C25" s="20">
        <v>0.0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41947.3</v>
      </c>
      <c r="K25" s="20">
        <v>0.0</v>
      </c>
      <c r="L25" s="20">
        <v>0.0</v>
      </c>
      <c r="M25" s="20">
        <v>0.0</v>
      </c>
      <c r="N25" s="20">
        <v>0.0</v>
      </c>
      <c r="O25" s="20">
        <v>41947.3</v>
      </c>
      <c r="P25" s="20">
        <v>0.0</v>
      </c>
      <c r="R25" s="19">
        <v>4.0</v>
      </c>
      <c r="V25" s="19">
        <v>100017.0</v>
      </c>
      <c r="W25" s="19">
        <v>100128578.0</v>
      </c>
      <c r="X25" s="18" t="s">
        <v>94</v>
      </c>
      <c r="Y25" s="18" t="s">
        <v>94</v>
      </c>
      <c r="Z25" s="18" t="s">
        <v>95</v>
      </c>
      <c r="AA25" s="18" t="s">
        <v>97</v>
      </c>
      <c r="AB25" s="19">
        <v>4670.2</v>
      </c>
      <c r="AC25" s="19">
        <v>1.0</v>
      </c>
      <c r="AD25" s="19">
        <v>6391.0</v>
      </c>
      <c r="AE25" s="19">
        <v>2.0</v>
      </c>
      <c r="AF25" s="18" t="s">
        <v>70</v>
      </c>
      <c r="AG25" s="19">
        <v>4.0</v>
      </c>
      <c r="AH25" s="19">
        <v>1.0</v>
      </c>
      <c r="AI25" s="19">
        <v>2312.0</v>
      </c>
      <c r="AJ25" s="19">
        <v>1.0</v>
      </c>
      <c r="AK25" s="19">
        <v>0.0</v>
      </c>
      <c r="AL25" s="19">
        <v>0.0</v>
      </c>
      <c r="AM25" s="19">
        <v>0.0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f>IF(5 = R25, C25 * -1, C25)</f>
        <v>0</v>
      </c>
      <c r="AU25" s="19">
        <f>IF(5 = R25, D25 * -1, D25)</f>
        <v>0</v>
      </c>
      <c r="AV25" s="19">
        <f>IF(5 = R25, E25 * -1, E25)</f>
        <v>0</v>
      </c>
      <c r="AW25" s="19">
        <f>IF(5 = R25, F25 * -1, F25)</f>
        <v>0</v>
      </c>
      <c r="AX25" s="19">
        <f>IF(5 = R25, G25 * -1, G25)</f>
        <v>0</v>
      </c>
      <c r="AY25" s="19">
        <f>IF(5 = R25, H25 * -1, H25)</f>
        <v>0</v>
      </c>
      <c r="AZ25" s="19">
        <f>IF(5 = R25, I25 * -1, I25)</f>
        <v>0</v>
      </c>
      <c r="BA25" s="19">
        <f>IF(5 = R25, J25 * -1, J25)</f>
        <v>41947.3</v>
      </c>
      <c r="BB25" s="19">
        <v>0.0</v>
      </c>
      <c r="BC25" s="19">
        <f>IF(5 = R25, K25 * -1, K25)</f>
        <v>0</v>
      </c>
      <c r="BD25" s="19">
        <v>0.0</v>
      </c>
      <c r="BE25" s="19">
        <f>IF(5 = R25, L25 * -1, L25)</f>
        <v>0</v>
      </c>
      <c r="BF25" s="19">
        <f>IF(5 = R25, M25 * -1, M25)</f>
        <v>0</v>
      </c>
      <c r="BG25" s="19">
        <f>IF(5 = R25, N25 * -1, N25)</f>
        <v>0</v>
      </c>
      <c r="BH25" s="19">
        <f>IF(5 = R25, O25 * -1, O25)</f>
        <v>41947.3</v>
      </c>
      <c r="BI25" s="19">
        <f>IF(5 = R25, P25 * -1, P25)</f>
        <v>0</v>
      </c>
    </row>
    <row r="26" spans="1:90">
      <c r="A26" s="9" t="s">
        <v>98</v>
      </c>
      <c r="B26" s="18" t="s">
        <v>99</v>
      </c>
      <c r="C26" s="20">
        <v>0.0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5069.83</v>
      </c>
      <c r="K26" s="20">
        <v>4347.71</v>
      </c>
      <c r="L26" s="20">
        <v>4265.98</v>
      </c>
      <c r="M26" s="20">
        <v>4726.94</v>
      </c>
      <c r="N26" s="20">
        <v>5690.74</v>
      </c>
      <c r="O26" s="20">
        <v>24101.2</v>
      </c>
      <c r="P26" s="20">
        <v>19031.37</v>
      </c>
      <c r="R26" s="19">
        <v>4.0</v>
      </c>
      <c r="V26" s="19">
        <v>100017.0</v>
      </c>
      <c r="W26" s="19">
        <v>100128578.0</v>
      </c>
      <c r="X26" s="18" t="s">
        <v>94</v>
      </c>
      <c r="Y26" s="18" t="s">
        <v>94</v>
      </c>
      <c r="Z26" s="18" t="s">
        <v>95</v>
      </c>
      <c r="AA26" s="18" t="s">
        <v>99</v>
      </c>
      <c r="AB26" s="19">
        <v>4670.4</v>
      </c>
      <c r="AC26" s="19">
        <v>1.0</v>
      </c>
      <c r="AD26" s="19">
        <v>6392.0</v>
      </c>
      <c r="AE26" s="19">
        <v>3.0</v>
      </c>
      <c r="AF26" s="18" t="s">
        <v>70</v>
      </c>
      <c r="AG26" s="19">
        <v>4.0</v>
      </c>
      <c r="AH26" s="19">
        <v>1.0</v>
      </c>
      <c r="AI26" s="19">
        <v>2312.0</v>
      </c>
      <c r="AJ26" s="19">
        <v>5.0</v>
      </c>
      <c r="AK26" s="19">
        <v>0.0</v>
      </c>
      <c r="AL26" s="19">
        <v>0.0</v>
      </c>
      <c r="AM26" s="19">
        <v>0.0</v>
      </c>
      <c r="AN26" s="19">
        <v>0.0</v>
      </c>
      <c r="AO26" s="19">
        <v>0.0</v>
      </c>
      <c r="AP26" s="19">
        <v>0.0</v>
      </c>
      <c r="AQ26" s="19">
        <v>4265.98</v>
      </c>
      <c r="AR26" s="19">
        <v>1.0</v>
      </c>
      <c r="AS26" s="19">
        <v>0.0</v>
      </c>
      <c r="AT26" s="19">
        <f>IF(5 = R26, C26 * -1, C26)</f>
        <v>0</v>
      </c>
      <c r="AU26" s="19">
        <f>IF(5 = R26, D26 * -1, D26)</f>
        <v>0</v>
      </c>
      <c r="AV26" s="19">
        <f>IF(5 = R26, E26 * -1, E26)</f>
        <v>0</v>
      </c>
      <c r="AW26" s="19">
        <f>IF(5 = R26, F26 * -1, F26)</f>
        <v>0</v>
      </c>
      <c r="AX26" s="19">
        <f>IF(5 = R26, G26 * -1, G26)</f>
        <v>0</v>
      </c>
      <c r="AY26" s="19">
        <f>IF(5 = R26, H26 * -1, H26)</f>
        <v>0</v>
      </c>
      <c r="AZ26" s="19">
        <f>IF(5 = R26, I26 * -1, I26)</f>
        <v>0</v>
      </c>
      <c r="BA26" s="19">
        <f>IF(5 = R26, J26 * -1, J26)</f>
        <v>5069.83</v>
      </c>
      <c r="BB26" s="19">
        <v>4347.71</v>
      </c>
      <c r="BC26" s="19">
        <f>IF(5 = R26, K26 * -1, K26)</f>
        <v>4347.71</v>
      </c>
      <c r="BD26" s="19">
        <v>4265.98</v>
      </c>
      <c r="BE26" s="19">
        <f>IF(5 = R26, L26 * -1, L26)</f>
        <v>4265.98</v>
      </c>
      <c r="BF26" s="19">
        <f>IF(5 = R26, M26 * -1, M26)</f>
        <v>4726.94</v>
      </c>
      <c r="BG26" s="19">
        <f>IF(5 = R26, N26 * -1, N26)</f>
        <v>5690.74</v>
      </c>
      <c r="BH26" s="19">
        <f>IF(5 = R26, O26 * -1, O26)</f>
        <v>24101.2</v>
      </c>
      <c r="BI26" s="19">
        <f>IF(5 = R26, P26 * -1, P26)</f>
        <v>19031.37</v>
      </c>
    </row>
    <row r="27" spans="1:90">
      <c r="A27" s="9" t="s">
        <v>100</v>
      </c>
      <c r="B27" s="18" t="s">
        <v>101</v>
      </c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17899.4</v>
      </c>
      <c r="K27" s="20">
        <v>697.61</v>
      </c>
      <c r="L27" s="20">
        <v>567.66</v>
      </c>
      <c r="M27" s="20">
        <v>774.99</v>
      </c>
      <c r="N27" s="20">
        <v>755.17</v>
      </c>
      <c r="O27" s="20">
        <v>20694.83</v>
      </c>
      <c r="P27" s="20">
        <v>2795.43</v>
      </c>
      <c r="R27" s="19">
        <v>4.0</v>
      </c>
      <c r="V27" s="19">
        <v>100017.0</v>
      </c>
      <c r="W27" s="19">
        <v>100128578.0</v>
      </c>
      <c r="X27" s="18" t="s">
        <v>94</v>
      </c>
      <c r="Y27" s="18" t="s">
        <v>94</v>
      </c>
      <c r="Z27" s="18" t="s">
        <v>95</v>
      </c>
      <c r="AA27" s="18" t="s">
        <v>101</v>
      </c>
      <c r="AB27" s="19">
        <v>4670.6</v>
      </c>
      <c r="AC27" s="19">
        <v>1.0</v>
      </c>
      <c r="AD27" s="19">
        <v>6393.0</v>
      </c>
      <c r="AE27" s="19">
        <v>4.0</v>
      </c>
      <c r="AF27" s="18" t="s">
        <v>70</v>
      </c>
      <c r="AG27" s="19">
        <v>4.0</v>
      </c>
      <c r="AH27" s="19">
        <v>1.0</v>
      </c>
      <c r="AI27" s="19">
        <v>2312.0</v>
      </c>
      <c r="AJ27" s="19">
        <v>6.0</v>
      </c>
      <c r="AK27" s="19">
        <v>0.0</v>
      </c>
      <c r="AL27" s="19">
        <v>0.0</v>
      </c>
      <c r="AM27" s="19">
        <v>0.0</v>
      </c>
      <c r="AN27" s="19">
        <v>0.0</v>
      </c>
      <c r="AO27" s="19">
        <v>0.0</v>
      </c>
      <c r="AP27" s="19">
        <v>0.0</v>
      </c>
      <c r="AQ27" s="19">
        <v>567.66</v>
      </c>
      <c r="AR27" s="19">
        <v>1.0</v>
      </c>
      <c r="AS27" s="19">
        <v>0.0</v>
      </c>
      <c r="AT27" s="19">
        <f>IF(5 = R27, C27 * -1, C27)</f>
        <v>0</v>
      </c>
      <c r="AU27" s="19">
        <f>IF(5 = R27, D27 * -1, D27)</f>
        <v>0</v>
      </c>
      <c r="AV27" s="19">
        <f>IF(5 = R27, E27 * -1, E27)</f>
        <v>0</v>
      </c>
      <c r="AW27" s="19">
        <f>IF(5 = R27, F27 * -1, F27)</f>
        <v>0</v>
      </c>
      <c r="AX27" s="19">
        <f>IF(5 = R27, G27 * -1, G27)</f>
        <v>0</v>
      </c>
      <c r="AY27" s="19">
        <f>IF(5 = R27, H27 * -1, H27)</f>
        <v>0</v>
      </c>
      <c r="AZ27" s="19">
        <f>IF(5 = R27, I27 * -1, I27)</f>
        <v>0</v>
      </c>
      <c r="BA27" s="19">
        <f>IF(5 = R27, J27 * -1, J27)</f>
        <v>17899.4</v>
      </c>
      <c r="BB27" s="19">
        <v>697.61</v>
      </c>
      <c r="BC27" s="19">
        <f>IF(5 = R27, K27 * -1, K27)</f>
        <v>697.61</v>
      </c>
      <c r="BD27" s="19">
        <v>567.66</v>
      </c>
      <c r="BE27" s="19">
        <f>IF(5 = R27, L27 * -1, L27)</f>
        <v>567.66</v>
      </c>
      <c r="BF27" s="19">
        <f>IF(5 = R27, M27 * -1, M27)</f>
        <v>774.99</v>
      </c>
      <c r="BG27" s="19">
        <f>IF(5 = R27, N27 * -1, N27)</f>
        <v>755.17</v>
      </c>
      <c r="BH27" s="19">
        <f>IF(5 = R27, O27 * -1, O27)</f>
        <v>20694.83</v>
      </c>
      <c r="BI27" s="19">
        <f>IF(5 = R27, P27 * -1, P27)</f>
        <v>2795.43</v>
      </c>
    </row>
    <row r="28" spans="1:90">
      <c r="A28" s="9" t="s">
        <v>102</v>
      </c>
      <c r="B28" s="18" t="s">
        <v>103</v>
      </c>
      <c r="C28" s="20">
        <v>0.0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4104.48</v>
      </c>
      <c r="K28" s="20">
        <v>0.0</v>
      </c>
      <c r="L28" s="20">
        <v>0.0</v>
      </c>
      <c r="M28" s="20">
        <v>0.0</v>
      </c>
      <c r="N28" s="20">
        <v>0.0</v>
      </c>
      <c r="O28" s="20">
        <v>4104.48</v>
      </c>
      <c r="P28" s="20">
        <v>0.0</v>
      </c>
      <c r="R28" s="19">
        <v>4.0</v>
      </c>
      <c r="V28" s="19">
        <v>100017.0</v>
      </c>
      <c r="W28" s="19">
        <v>100128578.0</v>
      </c>
      <c r="X28" s="18" t="s">
        <v>94</v>
      </c>
      <c r="Y28" s="18" t="s">
        <v>94</v>
      </c>
      <c r="Z28" s="18" t="s">
        <v>95</v>
      </c>
      <c r="AA28" s="18" t="s">
        <v>103</v>
      </c>
      <c r="AB28" s="19">
        <v>4670.7</v>
      </c>
      <c r="AC28" s="19">
        <v>1.0</v>
      </c>
      <c r="AD28" s="19">
        <v>6394.0</v>
      </c>
      <c r="AE28" s="19">
        <v>5.0</v>
      </c>
      <c r="AF28" s="18" t="s">
        <v>70</v>
      </c>
      <c r="AG28" s="19">
        <v>4.0</v>
      </c>
      <c r="AH28" s="19">
        <v>1.0</v>
      </c>
      <c r="AI28" s="19">
        <v>2312.0</v>
      </c>
      <c r="AJ28" s="19">
        <v>1.0</v>
      </c>
      <c r="AK28" s="19">
        <v>0.0</v>
      </c>
      <c r="AL28" s="19">
        <v>0.0</v>
      </c>
      <c r="AM28" s="19">
        <v>0.0</v>
      </c>
      <c r="AN28" s="19">
        <v>0.0</v>
      </c>
      <c r="AO28" s="19">
        <v>0.0</v>
      </c>
      <c r="AP28" s="19">
        <v>0.0</v>
      </c>
      <c r="AQ28" s="19">
        <v>0.0</v>
      </c>
      <c r="AR28" s="19">
        <v>0.0</v>
      </c>
      <c r="AS28" s="19">
        <v>0.0</v>
      </c>
      <c r="AT28" s="19">
        <f>IF(5 = R28, C28 * -1, C28)</f>
        <v>0</v>
      </c>
      <c r="AU28" s="19">
        <f>IF(5 = R28, D28 * -1, D28)</f>
        <v>0</v>
      </c>
      <c r="AV28" s="19">
        <f>IF(5 = R28, E28 * -1, E28)</f>
        <v>0</v>
      </c>
      <c r="AW28" s="19">
        <f>IF(5 = R28, F28 * -1, F28)</f>
        <v>0</v>
      </c>
      <c r="AX28" s="19">
        <f>IF(5 = R28, G28 * -1, G28)</f>
        <v>0</v>
      </c>
      <c r="AY28" s="19">
        <f>IF(5 = R28, H28 * -1, H28)</f>
        <v>0</v>
      </c>
      <c r="AZ28" s="19">
        <f>IF(5 = R28, I28 * -1, I28)</f>
        <v>0</v>
      </c>
      <c r="BA28" s="19">
        <f>IF(5 = R28, J28 * -1, J28)</f>
        <v>4104.48</v>
      </c>
      <c r="BB28" s="19">
        <v>0.0</v>
      </c>
      <c r="BC28" s="19">
        <f>IF(5 = R28, K28 * -1, K28)</f>
        <v>0</v>
      </c>
      <c r="BD28" s="19">
        <v>0.0</v>
      </c>
      <c r="BE28" s="19">
        <f>IF(5 = R28, L28 * -1, L28)</f>
        <v>0</v>
      </c>
      <c r="BF28" s="19">
        <f>IF(5 = R28, M28 * -1, M28)</f>
        <v>0</v>
      </c>
      <c r="BG28" s="19">
        <f>IF(5 = R28, N28 * -1, N28)</f>
        <v>0</v>
      </c>
      <c r="BH28" s="19">
        <f>IF(5 = R28, O28 * -1, O28)</f>
        <v>4104.48</v>
      </c>
      <c r="BI28" s="19">
        <f>IF(5 = R28, P28 * -1, P28)</f>
        <v>0</v>
      </c>
    </row>
    <row r="29" spans="1:90">
      <c r="B29" s="7" t="s">
        <v>91</v>
      </c>
      <c r="C29" s="12">
        <f>IF(5 = R29, AT29 * -1, AT29)</f>
        <v>0</v>
      </c>
      <c r="D29" s="12">
        <f>IF(5 = R29, AU29 * -1, AU29)</f>
        <v>0</v>
      </c>
      <c r="E29" s="12">
        <f>IF(5 = R29, AV29 * -1, AV29)</f>
        <v>0</v>
      </c>
      <c r="F29" s="12">
        <f>IF(5 = R29, AW29 * -1, AW29)</f>
        <v>0</v>
      </c>
      <c r="G29" s="12">
        <f>IF(5 = R29, AX29 * -1, AX29)</f>
        <v>0</v>
      </c>
      <c r="H29" s="12">
        <f>IF(5 = R29, AY29 * -1, AY29)</f>
        <v>0</v>
      </c>
      <c r="I29" s="12">
        <f>IF(5 = R29, AZ29 * -1, AZ29)</f>
        <v>0</v>
      </c>
      <c r="J29" s="12">
        <f>IF(5 = R29, BA29 * -1, BA29)</f>
        <v>68361.56</v>
      </c>
      <c r="K29" s="12">
        <f>IF(5 = R29, BC29 * -1, BC29)</f>
        <v>5045.32</v>
      </c>
      <c r="L29" s="12">
        <f>IF(5 = R29, BE29 * -1, BE29)</f>
        <v>4833.64</v>
      </c>
      <c r="M29" s="12">
        <f>IF(5 = R29, BF29 * -1, BF29)</f>
        <v>5501.93</v>
      </c>
      <c r="N29" s="12">
        <f>IF(5 = R29, BG29 * -1, BG29)</f>
        <v>6445.91</v>
      </c>
      <c r="O29" s="12">
        <f>IF(5 = R29, BH29 * -1, BH29)</f>
        <v>90188.36</v>
      </c>
      <c r="P29" s="12">
        <f>IF(5 = R29, BI29 * -1, BI29)</f>
        <v>21826.8</v>
      </c>
      <c r="R29" s="11">
        <v>4</v>
      </c>
      <c r="S29" s="13">
        <f>S28</f>
        <v>0</v>
      </c>
      <c r="T29" s="13">
        <f>T28</f>
        <v>0</v>
      </c>
      <c r="U29" s="11">
        <f>U28</f>
        <v>0</v>
      </c>
      <c r="V29" s="19"/>
      <c r="W29" s="19"/>
      <c r="X29" s="18"/>
      <c r="Y29" s="18"/>
      <c r="Z29" s="18"/>
      <c r="AA29" s="18"/>
      <c r="AB29" s="19"/>
      <c r="AC29" s="19"/>
      <c r="AD29" s="19"/>
      <c r="AE29" s="19"/>
      <c r="AF29" s="18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1">
        <f>SUM(AT24:AT28)</f>
        <v>0</v>
      </c>
      <c r="AU29" s="11">
        <f>SUM(AU24:AU28)</f>
        <v>0</v>
      </c>
      <c r="AV29" s="11">
        <f>SUM(AV24:AV28)</f>
        <v>0</v>
      </c>
      <c r="AW29" s="11">
        <f>SUM(AW24:AW28)</f>
        <v>0</v>
      </c>
      <c r="AX29" s="11">
        <f>SUM(AX24:AX28)</f>
        <v>0</v>
      </c>
      <c r="AY29" s="11">
        <f>SUM(AY24:AY28)</f>
        <v>0</v>
      </c>
      <c r="AZ29" s="11">
        <f>SUM(AZ24:AZ28)</f>
        <v>0</v>
      </c>
      <c r="BA29" s="11">
        <f>SUM(BA24:BA28)</f>
        <v>68361.56</v>
      </c>
      <c r="BB29" s="19"/>
      <c r="BC29" s="11">
        <f>SUM(BC24:BC28)</f>
        <v>5045.32</v>
      </c>
      <c r="BD29" s="19"/>
      <c r="BE29" s="11">
        <f>SUM(BE24:BE28)</f>
        <v>4833.64</v>
      </c>
      <c r="BF29" s="11">
        <f>SUM(BF24:BF28)</f>
        <v>5501.93</v>
      </c>
      <c r="BG29" s="11">
        <f>SUM(BG24:BG28)</f>
        <v>6445.91</v>
      </c>
      <c r="BH29" s="11">
        <f>SUM(BH24:BH28)</f>
        <v>90188.36</v>
      </c>
      <c r="BI29" s="11">
        <f>SUM(BI24:BI28)</f>
        <v>21826.8</v>
      </c>
    </row>
    <row r="30" spans="1:90">
      <c r="B30" s="18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R30" s="19"/>
      <c r="V30" s="19"/>
      <c r="W30" s="19"/>
      <c r="X30" s="18"/>
      <c r="Y30" s="18"/>
      <c r="Z30" s="18"/>
      <c r="AA30" s="18"/>
      <c r="AB30" s="19"/>
      <c r="AC30" s="19"/>
      <c r="AD30" s="19"/>
      <c r="AE30" s="19"/>
      <c r="AF30" s="18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</row>
    <row r="31" spans="1:90">
      <c r="A31" s="8" t="s">
        <v>104</v>
      </c>
      <c r="B31" s="18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R31" s="19"/>
      <c r="V31" s="19"/>
      <c r="W31" s="19"/>
      <c r="X31" s="18"/>
      <c r="Y31" s="18"/>
      <c r="Z31" s="18"/>
      <c r="AA31" s="18"/>
      <c r="AB31" s="19"/>
      <c r="AC31" s="19"/>
      <c r="AD31" s="19"/>
      <c r="AE31" s="19"/>
      <c r="AF31" s="18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</row>
    <row r="32" spans="1:90">
      <c r="A32" s="9" t="s">
        <v>105</v>
      </c>
      <c r="B32" s="18" t="s">
        <v>106</v>
      </c>
      <c r="C32" s="20">
        <v>0.0</v>
      </c>
      <c r="D32" s="20">
        <v>0.0</v>
      </c>
      <c r="E32" s="20">
        <v>0.0</v>
      </c>
      <c r="F32" s="20">
        <v>0.0</v>
      </c>
      <c r="G32" s="20">
        <v>0.0</v>
      </c>
      <c r="H32" s="20">
        <v>0.0</v>
      </c>
      <c r="I32" s="20">
        <v>0.0</v>
      </c>
      <c r="J32" s="20">
        <v>4582.0</v>
      </c>
      <c r="K32" s="20">
        <v>348.0</v>
      </c>
      <c r="L32" s="20">
        <v>232.0</v>
      </c>
      <c r="M32" s="20">
        <v>696.0</v>
      </c>
      <c r="N32" s="20">
        <v>406.0</v>
      </c>
      <c r="O32" s="20">
        <v>6264.0</v>
      </c>
      <c r="P32" s="20">
        <v>1682.0</v>
      </c>
      <c r="R32" s="19">
        <v>4.0</v>
      </c>
      <c r="V32" s="19">
        <v>100017.0</v>
      </c>
      <c r="W32" s="19">
        <v>100128578.0</v>
      </c>
      <c r="X32" s="18" t="s">
        <v>107</v>
      </c>
      <c r="Y32" s="18" t="s">
        <v>107</v>
      </c>
      <c r="Z32" s="18" t="s">
        <v>108</v>
      </c>
      <c r="AA32" s="18" t="s">
        <v>106</v>
      </c>
      <c r="AB32" s="19">
        <v>4510.0</v>
      </c>
      <c r="AC32" s="19">
        <v>1.0</v>
      </c>
      <c r="AD32" s="19">
        <v>6228.0</v>
      </c>
      <c r="AE32" s="19">
        <v>0.0</v>
      </c>
      <c r="AF32" s="18" t="s">
        <v>70</v>
      </c>
      <c r="AG32" s="19">
        <v>4.0</v>
      </c>
      <c r="AH32" s="19">
        <v>1.0</v>
      </c>
      <c r="AI32" s="19">
        <v>2228.0</v>
      </c>
      <c r="AJ32" s="19">
        <v>6.0</v>
      </c>
      <c r="AK32" s="19">
        <v>0.0</v>
      </c>
      <c r="AL32" s="19">
        <v>0.0</v>
      </c>
      <c r="AM32" s="19">
        <v>0.0</v>
      </c>
      <c r="AN32" s="19">
        <v>0.0</v>
      </c>
      <c r="AO32" s="19">
        <v>0.0</v>
      </c>
      <c r="AP32" s="19">
        <v>0.0</v>
      </c>
      <c r="AQ32" s="19">
        <v>232.0</v>
      </c>
      <c r="AR32" s="19">
        <v>1.0</v>
      </c>
      <c r="AS32" s="19">
        <v>0.0</v>
      </c>
      <c r="AT32" s="19">
        <f>IF(5 = R32, C32 * -1, C32)</f>
        <v>0</v>
      </c>
      <c r="AU32" s="19">
        <f>IF(5 = R32, D32 * -1, D32)</f>
        <v>0</v>
      </c>
      <c r="AV32" s="19">
        <f>IF(5 = R32, E32 * -1, E32)</f>
        <v>0</v>
      </c>
      <c r="AW32" s="19">
        <f>IF(5 = R32, F32 * -1, F32)</f>
        <v>0</v>
      </c>
      <c r="AX32" s="19">
        <f>IF(5 = R32, G32 * -1, G32)</f>
        <v>0</v>
      </c>
      <c r="AY32" s="19">
        <f>IF(5 = R32, H32 * -1, H32)</f>
        <v>0</v>
      </c>
      <c r="AZ32" s="19">
        <f>IF(5 = R32, I32 * -1, I32)</f>
        <v>0</v>
      </c>
      <c r="BA32" s="19">
        <f>IF(5 = R32, J32 * -1, J32)</f>
        <v>4582</v>
      </c>
      <c r="BB32" s="19">
        <v>348.0</v>
      </c>
      <c r="BC32" s="19">
        <f>IF(5 = R32, K32 * -1, K32)</f>
        <v>348</v>
      </c>
      <c r="BD32" s="19">
        <v>232.0</v>
      </c>
      <c r="BE32" s="19">
        <f>IF(5 = R32, L32 * -1, L32)</f>
        <v>232</v>
      </c>
      <c r="BF32" s="19">
        <f>IF(5 = R32, M32 * -1, M32)</f>
        <v>696</v>
      </c>
      <c r="BG32" s="19">
        <f>IF(5 = R32, N32 * -1, N32)</f>
        <v>406</v>
      </c>
      <c r="BH32" s="19">
        <f>IF(5 = R32, O32 * -1, O32)</f>
        <v>6264</v>
      </c>
      <c r="BI32" s="19">
        <f>IF(5 = R32, P32 * -1, P32)</f>
        <v>1682</v>
      </c>
    </row>
    <row r="33" spans="1:90">
      <c r="A33" s="9" t="s">
        <v>109</v>
      </c>
      <c r="B33" s="18" t="s">
        <v>110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20">
        <v>0.0</v>
      </c>
      <c r="I33" s="20">
        <v>0.0</v>
      </c>
      <c r="J33" s="20">
        <v>10320.56</v>
      </c>
      <c r="K33" s="20">
        <v>600.0</v>
      </c>
      <c r="L33" s="20">
        <v>300.0</v>
      </c>
      <c r="M33" s="20">
        <v>300.0</v>
      </c>
      <c r="N33" s="20">
        <v>600.0</v>
      </c>
      <c r="O33" s="20">
        <v>12120.56</v>
      </c>
      <c r="P33" s="20">
        <v>1800.0</v>
      </c>
      <c r="R33" s="19">
        <v>4.0</v>
      </c>
      <c r="V33" s="19">
        <v>100017.0</v>
      </c>
      <c r="W33" s="19">
        <v>100128578.0</v>
      </c>
      <c r="X33" s="18" t="s">
        <v>107</v>
      </c>
      <c r="Y33" s="18" t="s">
        <v>107</v>
      </c>
      <c r="Z33" s="18" t="s">
        <v>108</v>
      </c>
      <c r="AA33" s="18" t="s">
        <v>110</v>
      </c>
      <c r="AB33" s="19">
        <v>4530.0</v>
      </c>
      <c r="AC33" s="19">
        <v>1.0</v>
      </c>
      <c r="AD33" s="19">
        <v>6233.0</v>
      </c>
      <c r="AE33" s="19">
        <v>2.0</v>
      </c>
      <c r="AF33" s="18" t="s">
        <v>70</v>
      </c>
      <c r="AG33" s="19">
        <v>4.0</v>
      </c>
      <c r="AH33" s="19">
        <v>1.0</v>
      </c>
      <c r="AI33" s="19">
        <v>2228.0</v>
      </c>
      <c r="AJ33" s="19">
        <v>6.0</v>
      </c>
      <c r="AK33" s="19">
        <v>0.0</v>
      </c>
      <c r="AL33" s="19">
        <v>0.0</v>
      </c>
      <c r="AM33" s="19">
        <v>0.0</v>
      </c>
      <c r="AN33" s="19">
        <v>0.0</v>
      </c>
      <c r="AO33" s="19">
        <v>0.0</v>
      </c>
      <c r="AP33" s="19">
        <v>0.0</v>
      </c>
      <c r="AQ33" s="19">
        <v>300.0</v>
      </c>
      <c r="AR33" s="19">
        <v>1.0</v>
      </c>
      <c r="AS33" s="19">
        <v>0.0</v>
      </c>
      <c r="AT33" s="19">
        <f>IF(5 = R33, C33 * -1, C33)</f>
        <v>0</v>
      </c>
      <c r="AU33" s="19">
        <f>IF(5 = R33, D33 * -1, D33)</f>
        <v>0</v>
      </c>
      <c r="AV33" s="19">
        <f>IF(5 = R33, E33 * -1, E33)</f>
        <v>0</v>
      </c>
      <c r="AW33" s="19">
        <f>IF(5 = R33, F33 * -1, F33)</f>
        <v>0</v>
      </c>
      <c r="AX33" s="19">
        <f>IF(5 = R33, G33 * -1, G33)</f>
        <v>0</v>
      </c>
      <c r="AY33" s="19">
        <f>IF(5 = R33, H33 * -1, H33)</f>
        <v>0</v>
      </c>
      <c r="AZ33" s="19">
        <f>IF(5 = R33, I33 * -1, I33)</f>
        <v>0</v>
      </c>
      <c r="BA33" s="19">
        <f>IF(5 = R33, J33 * -1, J33)</f>
        <v>10320.56</v>
      </c>
      <c r="BB33" s="19">
        <v>600.0</v>
      </c>
      <c r="BC33" s="19">
        <f>IF(5 = R33, K33 * -1, K33)</f>
        <v>600</v>
      </c>
      <c r="BD33" s="19">
        <v>300.0</v>
      </c>
      <c r="BE33" s="19">
        <f>IF(5 = R33, L33 * -1, L33)</f>
        <v>300</v>
      </c>
      <c r="BF33" s="19">
        <f>IF(5 = R33, M33 * -1, M33)</f>
        <v>300</v>
      </c>
      <c r="BG33" s="19">
        <f>IF(5 = R33, N33 * -1, N33)</f>
        <v>600</v>
      </c>
      <c r="BH33" s="19">
        <f>IF(5 = R33, O33 * -1, O33)</f>
        <v>12120.56</v>
      </c>
      <c r="BI33" s="19">
        <f>IF(5 = R33, P33 * -1, P33)</f>
        <v>1800</v>
      </c>
    </row>
    <row r="34" spans="1:90">
      <c r="A34" s="9" t="s">
        <v>111</v>
      </c>
      <c r="B34" s="18" t="s">
        <v>112</v>
      </c>
      <c r="C34" s="20">
        <v>0.0</v>
      </c>
      <c r="D34" s="20">
        <v>0.0</v>
      </c>
      <c r="E34" s="20">
        <v>0.0</v>
      </c>
      <c r="F34" s="20">
        <v>0.0</v>
      </c>
      <c r="G34" s="20">
        <v>0.0</v>
      </c>
      <c r="H34" s="20">
        <v>0.0</v>
      </c>
      <c r="I34" s="20">
        <v>0.0</v>
      </c>
      <c r="J34" s="20">
        <v>475.0</v>
      </c>
      <c r="K34" s="20">
        <v>0.0</v>
      </c>
      <c r="L34" s="20">
        <v>0.0</v>
      </c>
      <c r="M34" s="20">
        <v>0.0</v>
      </c>
      <c r="N34" s="20">
        <v>35.0</v>
      </c>
      <c r="O34" s="20">
        <v>510.0</v>
      </c>
      <c r="P34" s="20">
        <v>35.0</v>
      </c>
      <c r="R34" s="19">
        <v>4.0</v>
      </c>
      <c r="V34" s="19">
        <v>100017.0</v>
      </c>
      <c r="W34" s="19">
        <v>100128578.0</v>
      </c>
      <c r="X34" s="18" t="s">
        <v>107</v>
      </c>
      <c r="Y34" s="18" t="s">
        <v>107</v>
      </c>
      <c r="Z34" s="18" t="s">
        <v>108</v>
      </c>
      <c r="AA34" s="18" t="s">
        <v>112</v>
      </c>
      <c r="AB34" s="19">
        <v>4540.0</v>
      </c>
      <c r="AC34" s="19">
        <v>1.0</v>
      </c>
      <c r="AD34" s="19">
        <v>6239.0</v>
      </c>
      <c r="AE34" s="19">
        <v>3.0</v>
      </c>
      <c r="AF34" s="18" t="s">
        <v>70</v>
      </c>
      <c r="AG34" s="19">
        <v>4.0</v>
      </c>
      <c r="AH34" s="19">
        <v>1.0</v>
      </c>
      <c r="AI34" s="19">
        <v>2228.0</v>
      </c>
      <c r="AJ34" s="19">
        <v>3.0</v>
      </c>
      <c r="AK34" s="19">
        <v>0.0</v>
      </c>
      <c r="AL34" s="19">
        <v>0.0</v>
      </c>
      <c r="AM34" s="19">
        <v>0.0</v>
      </c>
      <c r="AN34" s="19">
        <v>0.0</v>
      </c>
      <c r="AO34" s="19">
        <v>0.0</v>
      </c>
      <c r="AP34" s="19">
        <v>0.0</v>
      </c>
      <c r="AQ34" s="19">
        <v>0.0</v>
      </c>
      <c r="AR34" s="19">
        <v>1.0</v>
      </c>
      <c r="AS34" s="19">
        <v>0.0</v>
      </c>
      <c r="AT34" s="19">
        <f>IF(5 = R34, C34 * -1, C34)</f>
        <v>0</v>
      </c>
      <c r="AU34" s="19">
        <f>IF(5 = R34, D34 * -1, D34)</f>
        <v>0</v>
      </c>
      <c r="AV34" s="19">
        <f>IF(5 = R34, E34 * -1, E34)</f>
        <v>0</v>
      </c>
      <c r="AW34" s="19">
        <f>IF(5 = R34, F34 * -1, F34)</f>
        <v>0</v>
      </c>
      <c r="AX34" s="19">
        <f>IF(5 = R34, G34 * -1, G34)</f>
        <v>0</v>
      </c>
      <c r="AY34" s="19">
        <f>IF(5 = R34, H34 * -1, H34)</f>
        <v>0</v>
      </c>
      <c r="AZ34" s="19">
        <f>IF(5 = R34, I34 * -1, I34)</f>
        <v>0</v>
      </c>
      <c r="BA34" s="19">
        <f>IF(5 = R34, J34 * -1, J34)</f>
        <v>475</v>
      </c>
      <c r="BB34" s="19">
        <v>0.0</v>
      </c>
      <c r="BC34" s="19">
        <f>IF(5 = R34, K34 * -1, K34)</f>
        <v>0</v>
      </c>
      <c r="BD34" s="19">
        <v>0.0</v>
      </c>
      <c r="BE34" s="19">
        <f>IF(5 = R34, L34 * -1, L34)</f>
        <v>0</v>
      </c>
      <c r="BF34" s="19">
        <f>IF(5 = R34, M34 * -1, M34)</f>
        <v>0</v>
      </c>
      <c r="BG34" s="19">
        <f>IF(5 = R34, N34 * -1, N34)</f>
        <v>35</v>
      </c>
      <c r="BH34" s="19">
        <f>IF(5 = R34, O34 * -1, O34)</f>
        <v>510</v>
      </c>
      <c r="BI34" s="19">
        <f>IF(5 = R34, P34 * -1, P34)</f>
        <v>35</v>
      </c>
    </row>
    <row r="35" spans="1:90">
      <c r="A35" s="9" t="s">
        <v>113</v>
      </c>
      <c r="B35" s="18" t="s">
        <v>114</v>
      </c>
      <c r="C35" s="20">
        <v>0.0</v>
      </c>
      <c r="D35" s="20">
        <v>0.0</v>
      </c>
      <c r="E35" s="20">
        <v>0.0</v>
      </c>
      <c r="F35" s="20">
        <v>0.0</v>
      </c>
      <c r="G35" s="20">
        <v>0.0</v>
      </c>
      <c r="H35" s="20">
        <v>0.0</v>
      </c>
      <c r="I35" s="20">
        <v>0.0</v>
      </c>
      <c r="J35" s="20">
        <v>1901.0</v>
      </c>
      <c r="K35" s="20">
        <v>278.0</v>
      </c>
      <c r="L35" s="20">
        <v>0.0</v>
      </c>
      <c r="M35" s="20">
        <v>300.0</v>
      </c>
      <c r="N35" s="20">
        <v>85.0</v>
      </c>
      <c r="O35" s="20">
        <v>2564.0</v>
      </c>
      <c r="P35" s="20">
        <v>663.0</v>
      </c>
      <c r="R35" s="19">
        <v>4.0</v>
      </c>
      <c r="V35" s="19">
        <v>100017.0</v>
      </c>
      <c r="W35" s="19">
        <v>100128578.0</v>
      </c>
      <c r="X35" s="18" t="s">
        <v>107</v>
      </c>
      <c r="Y35" s="18" t="s">
        <v>107</v>
      </c>
      <c r="Z35" s="18" t="s">
        <v>108</v>
      </c>
      <c r="AA35" s="18" t="s">
        <v>114</v>
      </c>
      <c r="AB35" s="19">
        <v>4570.0</v>
      </c>
      <c r="AC35" s="19">
        <v>1.0</v>
      </c>
      <c r="AD35" s="19">
        <v>6231.0</v>
      </c>
      <c r="AE35" s="19">
        <v>6.0</v>
      </c>
      <c r="AF35" s="18" t="s">
        <v>70</v>
      </c>
      <c r="AG35" s="19">
        <v>4.0</v>
      </c>
      <c r="AH35" s="19">
        <v>1.0</v>
      </c>
      <c r="AI35" s="19">
        <v>2228.0</v>
      </c>
      <c r="AJ35" s="19">
        <v>4.0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1.0</v>
      </c>
      <c r="AS35" s="19">
        <v>0.0</v>
      </c>
      <c r="AT35" s="19">
        <f>IF(5 = R35, C35 * -1, C35)</f>
        <v>0</v>
      </c>
      <c r="AU35" s="19">
        <f>IF(5 = R35, D35 * -1, D35)</f>
        <v>0</v>
      </c>
      <c r="AV35" s="19">
        <f>IF(5 = R35, E35 * -1, E35)</f>
        <v>0</v>
      </c>
      <c r="AW35" s="19">
        <f>IF(5 = R35, F35 * -1, F35)</f>
        <v>0</v>
      </c>
      <c r="AX35" s="19">
        <f>IF(5 = R35, G35 * -1, G35)</f>
        <v>0</v>
      </c>
      <c r="AY35" s="19">
        <f>IF(5 = R35, H35 * -1, H35)</f>
        <v>0</v>
      </c>
      <c r="AZ35" s="19">
        <f>IF(5 = R35, I35 * -1, I35)</f>
        <v>0</v>
      </c>
      <c r="BA35" s="19">
        <f>IF(5 = R35, J35 * -1, J35)</f>
        <v>1901</v>
      </c>
      <c r="BB35" s="19">
        <v>278.0</v>
      </c>
      <c r="BC35" s="19">
        <f>IF(5 = R35, K35 * -1, K35)</f>
        <v>278</v>
      </c>
      <c r="BD35" s="19">
        <v>0.0</v>
      </c>
      <c r="BE35" s="19">
        <f>IF(5 = R35, L35 * -1, L35)</f>
        <v>0</v>
      </c>
      <c r="BF35" s="19">
        <f>IF(5 = R35, M35 * -1, M35)</f>
        <v>300</v>
      </c>
      <c r="BG35" s="19">
        <f>IF(5 = R35, N35 * -1, N35)</f>
        <v>85</v>
      </c>
      <c r="BH35" s="19">
        <f>IF(5 = R35, O35 * -1, O35)</f>
        <v>2564</v>
      </c>
      <c r="BI35" s="19">
        <f>IF(5 = R35, P35 * -1, P35)</f>
        <v>663</v>
      </c>
    </row>
    <row r="36" spans="1:90">
      <c r="A36" s="9" t="s">
        <v>115</v>
      </c>
      <c r="B36" s="18" t="s">
        <v>116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16566.64</v>
      </c>
      <c r="K36" s="20">
        <v>0.0</v>
      </c>
      <c r="L36" s="20">
        <v>0.0</v>
      </c>
      <c r="M36" s="20">
        <v>0.0</v>
      </c>
      <c r="N36" s="20">
        <v>0.0</v>
      </c>
      <c r="O36" s="20">
        <v>16566.64</v>
      </c>
      <c r="P36" s="20">
        <v>0.0</v>
      </c>
      <c r="R36" s="19">
        <v>4.0</v>
      </c>
      <c r="V36" s="19">
        <v>100017.0</v>
      </c>
      <c r="W36" s="19">
        <v>100128578.0</v>
      </c>
      <c r="X36" s="18" t="s">
        <v>107</v>
      </c>
      <c r="Y36" s="18" t="s">
        <v>107</v>
      </c>
      <c r="Z36" s="18" t="s">
        <v>108</v>
      </c>
      <c r="AA36" s="18" t="s">
        <v>116</v>
      </c>
      <c r="AB36" s="19">
        <v>4580.0</v>
      </c>
      <c r="AC36" s="19">
        <v>1.0</v>
      </c>
      <c r="AD36" s="19">
        <v>6383.0</v>
      </c>
      <c r="AE36" s="19">
        <v>7.0</v>
      </c>
      <c r="AF36" s="18" t="s">
        <v>70</v>
      </c>
      <c r="AG36" s="19">
        <v>4.0</v>
      </c>
      <c r="AH36" s="19">
        <v>1.0</v>
      </c>
      <c r="AI36" s="19">
        <v>2228.0</v>
      </c>
      <c r="AJ36" s="19">
        <v>1.0</v>
      </c>
      <c r="AK36" s="19">
        <v>0.0</v>
      </c>
      <c r="AL36" s="19">
        <v>0.0</v>
      </c>
      <c r="AM36" s="19">
        <v>0.0</v>
      </c>
      <c r="AN36" s="19">
        <v>0.0</v>
      </c>
      <c r="AO36" s="19">
        <v>0.0</v>
      </c>
      <c r="AP36" s="19">
        <v>0.0</v>
      </c>
      <c r="AQ36" s="19">
        <v>0.0</v>
      </c>
      <c r="AR36" s="19">
        <v>0.0</v>
      </c>
      <c r="AS36" s="19">
        <v>0.0</v>
      </c>
      <c r="AT36" s="19">
        <f>IF(5 = R36, C36 * -1, C36)</f>
        <v>0</v>
      </c>
      <c r="AU36" s="19">
        <f>IF(5 = R36, D36 * -1, D36)</f>
        <v>0</v>
      </c>
      <c r="AV36" s="19">
        <f>IF(5 = R36, E36 * -1, E36)</f>
        <v>0</v>
      </c>
      <c r="AW36" s="19">
        <f>IF(5 = R36, F36 * -1, F36)</f>
        <v>0</v>
      </c>
      <c r="AX36" s="19">
        <f>IF(5 = R36, G36 * -1, G36)</f>
        <v>0</v>
      </c>
      <c r="AY36" s="19">
        <f>IF(5 = R36, H36 * -1, H36)</f>
        <v>0</v>
      </c>
      <c r="AZ36" s="19">
        <f>IF(5 = R36, I36 * -1, I36)</f>
        <v>0</v>
      </c>
      <c r="BA36" s="19">
        <f>IF(5 = R36, J36 * -1, J36)</f>
        <v>16566.64</v>
      </c>
      <c r="BB36" s="19">
        <v>0.0</v>
      </c>
      <c r="BC36" s="19">
        <f>IF(5 = R36, K36 * -1, K36)</f>
        <v>0</v>
      </c>
      <c r="BD36" s="19">
        <v>0.0</v>
      </c>
      <c r="BE36" s="19">
        <f>IF(5 = R36, L36 * -1, L36)</f>
        <v>0</v>
      </c>
      <c r="BF36" s="19">
        <f>IF(5 = R36, M36 * -1, M36)</f>
        <v>0</v>
      </c>
      <c r="BG36" s="19">
        <f>IF(5 = R36, N36 * -1, N36)</f>
        <v>0</v>
      </c>
      <c r="BH36" s="19">
        <f>IF(5 = R36, O36 * -1, O36)</f>
        <v>16566.64</v>
      </c>
      <c r="BI36" s="19">
        <f>IF(5 = R36, P36 * -1, P36)</f>
        <v>0</v>
      </c>
    </row>
    <row r="37" spans="1:90">
      <c r="A37" s="9" t="s">
        <v>117</v>
      </c>
      <c r="B37" s="18" t="s">
        <v>118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12665.82</v>
      </c>
      <c r="K37" s="20">
        <v>0.0</v>
      </c>
      <c r="L37" s="20">
        <v>0.0</v>
      </c>
      <c r="M37" s="20">
        <v>5361.0</v>
      </c>
      <c r="N37" s="20">
        <v>2019.0</v>
      </c>
      <c r="O37" s="20">
        <v>20045.82</v>
      </c>
      <c r="P37" s="20">
        <v>7380.0</v>
      </c>
      <c r="R37" s="19">
        <v>4.0</v>
      </c>
      <c r="V37" s="19">
        <v>100017.0</v>
      </c>
      <c r="W37" s="19">
        <v>100128578.0</v>
      </c>
      <c r="X37" s="18" t="s">
        <v>107</v>
      </c>
      <c r="Y37" s="18" t="s">
        <v>107</v>
      </c>
      <c r="Z37" s="18" t="s">
        <v>108</v>
      </c>
      <c r="AA37" s="18" t="s">
        <v>118</v>
      </c>
      <c r="AB37" s="19">
        <v>4590.0</v>
      </c>
      <c r="AC37" s="19">
        <v>1.0</v>
      </c>
      <c r="AD37" s="19">
        <v>6232.0</v>
      </c>
      <c r="AE37" s="19">
        <v>8.0</v>
      </c>
      <c r="AF37" s="18" t="s">
        <v>70</v>
      </c>
      <c r="AG37" s="19">
        <v>4.0</v>
      </c>
      <c r="AH37" s="19">
        <v>1.0</v>
      </c>
      <c r="AI37" s="19">
        <v>2228.0</v>
      </c>
      <c r="AJ37" s="19">
        <v>4.0</v>
      </c>
      <c r="AK37" s="19">
        <v>0.0</v>
      </c>
      <c r="AL37" s="19">
        <v>0.0</v>
      </c>
      <c r="AM37" s="19">
        <v>0.0</v>
      </c>
      <c r="AN37" s="19">
        <v>0.0</v>
      </c>
      <c r="AO37" s="19">
        <v>0.0</v>
      </c>
      <c r="AP37" s="19">
        <v>0.0</v>
      </c>
      <c r="AQ37" s="19">
        <v>0.0</v>
      </c>
      <c r="AR37" s="19">
        <v>1.0</v>
      </c>
      <c r="AS37" s="19">
        <v>0.0</v>
      </c>
      <c r="AT37" s="19">
        <f>IF(5 = R37, C37 * -1, C37)</f>
        <v>0</v>
      </c>
      <c r="AU37" s="19">
        <f>IF(5 = R37, D37 * -1, D37)</f>
        <v>0</v>
      </c>
      <c r="AV37" s="19">
        <f>IF(5 = R37, E37 * -1, E37)</f>
        <v>0</v>
      </c>
      <c r="AW37" s="19">
        <f>IF(5 = R37, F37 * -1, F37)</f>
        <v>0</v>
      </c>
      <c r="AX37" s="19">
        <f>IF(5 = R37, G37 * -1, G37)</f>
        <v>0</v>
      </c>
      <c r="AY37" s="19">
        <f>IF(5 = R37, H37 * -1, H37)</f>
        <v>0</v>
      </c>
      <c r="AZ37" s="19">
        <f>IF(5 = R37, I37 * -1, I37)</f>
        <v>0</v>
      </c>
      <c r="BA37" s="19">
        <f>IF(5 = R37, J37 * -1, J37)</f>
        <v>12665.82</v>
      </c>
      <c r="BB37" s="19">
        <v>0.0</v>
      </c>
      <c r="BC37" s="19">
        <f>IF(5 = R37, K37 * -1, K37)</f>
        <v>0</v>
      </c>
      <c r="BD37" s="19">
        <v>0.0</v>
      </c>
      <c r="BE37" s="19">
        <f>IF(5 = R37, L37 * -1, L37)</f>
        <v>0</v>
      </c>
      <c r="BF37" s="19">
        <f>IF(5 = R37, M37 * -1, M37)</f>
        <v>5361</v>
      </c>
      <c r="BG37" s="19">
        <f>IF(5 = R37, N37 * -1, N37)</f>
        <v>2019</v>
      </c>
      <c r="BH37" s="19">
        <f>IF(5 = R37, O37 * -1, O37)</f>
        <v>20045.82</v>
      </c>
      <c r="BI37" s="19">
        <f>IF(5 = R37, P37 * -1, P37)</f>
        <v>7380</v>
      </c>
    </row>
    <row r="38" spans="1:90">
      <c r="A38" s="9" t="s">
        <v>119</v>
      </c>
      <c r="B38" s="18" t="s">
        <v>120</v>
      </c>
      <c r="C38" s="20">
        <v>0.0</v>
      </c>
      <c r="D38" s="20">
        <v>0.0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20">
        <v>1449.0</v>
      </c>
      <c r="K38" s="20">
        <v>0.0</v>
      </c>
      <c r="L38" s="20">
        <v>0.0</v>
      </c>
      <c r="M38" s="20">
        <v>0.0</v>
      </c>
      <c r="N38" s="20">
        <v>0.0</v>
      </c>
      <c r="O38" s="20">
        <v>1449.0</v>
      </c>
      <c r="P38" s="20">
        <v>0.0</v>
      </c>
      <c r="R38" s="19">
        <v>4.0</v>
      </c>
      <c r="V38" s="19">
        <v>100017.0</v>
      </c>
      <c r="W38" s="19">
        <v>100128578.0</v>
      </c>
      <c r="X38" s="18" t="s">
        <v>107</v>
      </c>
      <c r="Y38" s="18" t="s">
        <v>107</v>
      </c>
      <c r="Z38" s="18" t="s">
        <v>108</v>
      </c>
      <c r="AA38" s="18" t="s">
        <v>120</v>
      </c>
      <c r="AB38" s="19">
        <v>4610.0</v>
      </c>
      <c r="AC38" s="19">
        <v>1.0</v>
      </c>
      <c r="AD38" s="19">
        <v>6384.0</v>
      </c>
      <c r="AE38" s="19">
        <v>9.0</v>
      </c>
      <c r="AF38" s="18" t="s">
        <v>70</v>
      </c>
      <c r="AG38" s="19">
        <v>4.0</v>
      </c>
      <c r="AH38" s="19">
        <v>1.0</v>
      </c>
      <c r="AI38" s="19">
        <v>2228.0</v>
      </c>
      <c r="AJ38" s="19">
        <v>1.0</v>
      </c>
      <c r="AK38" s="19">
        <v>0.0</v>
      </c>
      <c r="AL38" s="19">
        <v>0.0</v>
      </c>
      <c r="AM38" s="19">
        <v>0.0</v>
      </c>
      <c r="AN38" s="19">
        <v>0.0</v>
      </c>
      <c r="AO38" s="19">
        <v>0.0</v>
      </c>
      <c r="AP38" s="19">
        <v>0.0</v>
      </c>
      <c r="AQ38" s="19">
        <v>0.0</v>
      </c>
      <c r="AR38" s="19">
        <v>0.0</v>
      </c>
      <c r="AS38" s="19">
        <v>0.0</v>
      </c>
      <c r="AT38" s="19">
        <f>IF(5 = R38, C38 * -1, C38)</f>
        <v>0</v>
      </c>
      <c r="AU38" s="19">
        <f>IF(5 = R38, D38 * -1, D38)</f>
        <v>0</v>
      </c>
      <c r="AV38" s="19">
        <f>IF(5 = R38, E38 * -1, E38)</f>
        <v>0</v>
      </c>
      <c r="AW38" s="19">
        <f>IF(5 = R38, F38 * -1, F38)</f>
        <v>0</v>
      </c>
      <c r="AX38" s="19">
        <f>IF(5 = R38, G38 * -1, G38)</f>
        <v>0</v>
      </c>
      <c r="AY38" s="19">
        <f>IF(5 = R38, H38 * -1, H38)</f>
        <v>0</v>
      </c>
      <c r="AZ38" s="19">
        <f>IF(5 = R38, I38 * -1, I38)</f>
        <v>0</v>
      </c>
      <c r="BA38" s="19">
        <f>IF(5 = R38, J38 * -1, J38)</f>
        <v>1449</v>
      </c>
      <c r="BB38" s="19">
        <v>0.0</v>
      </c>
      <c r="BC38" s="19">
        <f>IF(5 = R38, K38 * -1, K38)</f>
        <v>0</v>
      </c>
      <c r="BD38" s="19">
        <v>0.0</v>
      </c>
      <c r="BE38" s="19">
        <f>IF(5 = R38, L38 * -1, L38)</f>
        <v>0</v>
      </c>
      <c r="BF38" s="19">
        <f>IF(5 = R38, M38 * -1, M38)</f>
        <v>0</v>
      </c>
      <c r="BG38" s="19">
        <f>IF(5 = R38, N38 * -1, N38)</f>
        <v>0</v>
      </c>
      <c r="BH38" s="19">
        <f>IF(5 = R38, O38 * -1, O38)</f>
        <v>1449</v>
      </c>
      <c r="BI38" s="19">
        <f>IF(5 = R38, P38 * -1, P38)</f>
        <v>0</v>
      </c>
    </row>
    <row r="39" spans="1:90">
      <c r="A39" s="9" t="s">
        <v>121</v>
      </c>
      <c r="B39" s="18" t="s">
        <v>122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v>0.0</v>
      </c>
      <c r="I39" s="20">
        <v>0.0</v>
      </c>
      <c r="J39" s="20">
        <v>17953.34</v>
      </c>
      <c r="K39" s="20">
        <v>0.0</v>
      </c>
      <c r="L39" s="20">
        <v>0.0</v>
      </c>
      <c r="M39" s="20">
        <v>0.0</v>
      </c>
      <c r="N39" s="20">
        <v>0.0</v>
      </c>
      <c r="O39" s="20">
        <v>17953.34</v>
      </c>
      <c r="P39" s="20">
        <v>0.0</v>
      </c>
      <c r="R39" s="19">
        <v>4.0</v>
      </c>
      <c r="V39" s="19">
        <v>100017.0</v>
      </c>
      <c r="W39" s="19">
        <v>100128578.0</v>
      </c>
      <c r="X39" s="18" t="s">
        <v>107</v>
      </c>
      <c r="Y39" s="18" t="s">
        <v>107</v>
      </c>
      <c r="Z39" s="18" t="s">
        <v>108</v>
      </c>
      <c r="AA39" s="18" t="s">
        <v>122</v>
      </c>
      <c r="AB39" s="19">
        <v>4620.0</v>
      </c>
      <c r="AC39" s="19">
        <v>1.0</v>
      </c>
      <c r="AD39" s="19">
        <v>6385.0</v>
      </c>
      <c r="AE39" s="19">
        <v>10.0</v>
      </c>
      <c r="AF39" s="18" t="s">
        <v>70</v>
      </c>
      <c r="AG39" s="19">
        <v>4.0</v>
      </c>
      <c r="AH39" s="19">
        <v>1.0</v>
      </c>
      <c r="AI39" s="19">
        <v>2228.0</v>
      </c>
      <c r="AJ39" s="19">
        <v>1.0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f>IF(5 = R39, C39 * -1, C39)</f>
        <v>0</v>
      </c>
      <c r="AU39" s="19">
        <f>IF(5 = R39, D39 * -1, D39)</f>
        <v>0</v>
      </c>
      <c r="AV39" s="19">
        <f>IF(5 = R39, E39 * -1, E39)</f>
        <v>0</v>
      </c>
      <c r="AW39" s="19">
        <f>IF(5 = R39, F39 * -1, F39)</f>
        <v>0</v>
      </c>
      <c r="AX39" s="19">
        <f>IF(5 = R39, G39 * -1, G39)</f>
        <v>0</v>
      </c>
      <c r="AY39" s="19">
        <f>IF(5 = R39, H39 * -1, H39)</f>
        <v>0</v>
      </c>
      <c r="AZ39" s="19">
        <f>IF(5 = R39, I39 * -1, I39)</f>
        <v>0</v>
      </c>
      <c r="BA39" s="19">
        <f>IF(5 = R39, J39 * -1, J39)</f>
        <v>17953.34</v>
      </c>
      <c r="BB39" s="19">
        <v>0.0</v>
      </c>
      <c r="BC39" s="19">
        <f>IF(5 = R39, K39 * -1, K39)</f>
        <v>0</v>
      </c>
      <c r="BD39" s="19">
        <v>0.0</v>
      </c>
      <c r="BE39" s="19">
        <f>IF(5 = R39, L39 * -1, L39)</f>
        <v>0</v>
      </c>
      <c r="BF39" s="19">
        <f>IF(5 = R39, M39 * -1, M39)</f>
        <v>0</v>
      </c>
      <c r="BG39" s="19">
        <f>IF(5 = R39, N39 * -1, N39)</f>
        <v>0</v>
      </c>
      <c r="BH39" s="19">
        <f>IF(5 = R39, O39 * -1, O39)</f>
        <v>17953.34</v>
      </c>
      <c r="BI39" s="19">
        <f>IF(5 = R39, P39 * -1, P39)</f>
        <v>0</v>
      </c>
    </row>
    <row r="40" spans="1:90">
      <c r="A40" s="9" t="s">
        <v>123</v>
      </c>
      <c r="B40" s="18" t="s">
        <v>124</v>
      </c>
      <c r="C40" s="20">
        <v>0.0</v>
      </c>
      <c r="D40" s="20">
        <v>0.0</v>
      </c>
      <c r="E40" s="20">
        <v>0.0</v>
      </c>
      <c r="F40" s="20">
        <v>0.0</v>
      </c>
      <c r="G40" s="20">
        <v>0.0</v>
      </c>
      <c r="H40" s="20">
        <v>0.0</v>
      </c>
      <c r="I40" s="20">
        <v>6870.5</v>
      </c>
      <c r="J40" s="20">
        <v>1864.24</v>
      </c>
      <c r="K40" s="20">
        <v>0.0</v>
      </c>
      <c r="L40" s="20">
        <v>93.94</v>
      </c>
      <c r="M40" s="20">
        <v>0.0</v>
      </c>
      <c r="N40" s="20">
        <v>0.0</v>
      </c>
      <c r="O40" s="20">
        <v>8828.68</v>
      </c>
      <c r="P40" s="20">
        <v>93.94</v>
      </c>
      <c r="R40" s="19">
        <v>4.0</v>
      </c>
      <c r="V40" s="19">
        <v>100017.0</v>
      </c>
      <c r="W40" s="19">
        <v>100128578.0</v>
      </c>
      <c r="X40" s="18" t="s">
        <v>107</v>
      </c>
      <c r="Y40" s="18" t="s">
        <v>107</v>
      </c>
      <c r="Z40" s="18" t="s">
        <v>108</v>
      </c>
      <c r="AA40" s="18" t="s">
        <v>124</v>
      </c>
      <c r="AB40" s="19">
        <v>4680.0</v>
      </c>
      <c r="AC40" s="19">
        <v>1.0</v>
      </c>
      <c r="AD40" s="19">
        <v>6236.0</v>
      </c>
      <c r="AE40" s="19">
        <v>14.0</v>
      </c>
      <c r="AF40" s="18" t="s">
        <v>70</v>
      </c>
      <c r="AG40" s="19">
        <v>4.0</v>
      </c>
      <c r="AH40" s="19">
        <v>1.0</v>
      </c>
      <c r="AI40" s="19">
        <v>2228.0</v>
      </c>
      <c r="AJ40" s="19">
        <v>3.0</v>
      </c>
      <c r="AK40" s="19">
        <v>0.0</v>
      </c>
      <c r="AL40" s="19">
        <v>0.0</v>
      </c>
      <c r="AM40" s="19">
        <v>0.0</v>
      </c>
      <c r="AN40" s="19">
        <v>0.0</v>
      </c>
      <c r="AO40" s="19">
        <v>6870.5</v>
      </c>
      <c r="AP40" s="19">
        <v>1.0</v>
      </c>
      <c r="AQ40" s="19">
        <v>93.94</v>
      </c>
      <c r="AR40" s="19">
        <v>0.0</v>
      </c>
      <c r="AS40" s="19">
        <v>0.0</v>
      </c>
      <c r="AT40" s="19">
        <f>IF(5 = R40, C40 * -1, C40)</f>
        <v>0</v>
      </c>
      <c r="AU40" s="19">
        <f>IF(5 = R40, D40 * -1, D40)</f>
        <v>0</v>
      </c>
      <c r="AV40" s="19">
        <f>IF(5 = R40, E40 * -1, E40)</f>
        <v>0</v>
      </c>
      <c r="AW40" s="19">
        <f>IF(5 = R40, F40 * -1, F40)</f>
        <v>0</v>
      </c>
      <c r="AX40" s="19">
        <f>IF(5 = R40, G40 * -1, G40)</f>
        <v>0</v>
      </c>
      <c r="AY40" s="19">
        <f>IF(5 = R40, H40 * -1, H40)</f>
        <v>0</v>
      </c>
      <c r="AZ40" s="19">
        <f>IF(5 = R40, I40 * -1, I40)</f>
        <v>6870.5</v>
      </c>
      <c r="BA40" s="19">
        <f>IF(5 = R40, J40 * -1, J40)</f>
        <v>1864.24</v>
      </c>
      <c r="BB40" s="19">
        <v>0.0</v>
      </c>
      <c r="BC40" s="19">
        <f>IF(5 = R40, K40 * -1, K40)</f>
        <v>0</v>
      </c>
      <c r="BD40" s="19">
        <v>93.94</v>
      </c>
      <c r="BE40" s="19">
        <f>IF(5 = R40, L40 * -1, L40)</f>
        <v>93.94</v>
      </c>
      <c r="BF40" s="19">
        <f>IF(5 = R40, M40 * -1, M40)</f>
        <v>0</v>
      </c>
      <c r="BG40" s="19">
        <f>IF(5 = R40, N40 * -1, N40)</f>
        <v>0</v>
      </c>
      <c r="BH40" s="19">
        <f>IF(5 = R40, O40 * -1, O40)</f>
        <v>8828.68</v>
      </c>
      <c r="BI40" s="19">
        <f>IF(5 = R40, P40 * -1, P40)</f>
        <v>93.94</v>
      </c>
    </row>
    <row r="41" spans="1:90">
      <c r="A41" s="9" t="s">
        <v>125</v>
      </c>
      <c r="B41" s="18" t="s">
        <v>126</v>
      </c>
      <c r="C41" s="20">
        <v>0.0</v>
      </c>
      <c r="D41" s="20">
        <v>0.0</v>
      </c>
      <c r="E41" s="20">
        <v>0.0</v>
      </c>
      <c r="F41" s="20">
        <v>0.0</v>
      </c>
      <c r="G41" s="20">
        <v>0.0</v>
      </c>
      <c r="H41" s="20">
        <v>0.0</v>
      </c>
      <c r="I41" s="20">
        <v>0.0</v>
      </c>
      <c r="J41" s="20">
        <v>9.95</v>
      </c>
      <c r="K41" s="20">
        <v>0.0</v>
      </c>
      <c r="L41" s="20">
        <v>0.0</v>
      </c>
      <c r="M41" s="20">
        <v>26.85</v>
      </c>
      <c r="N41" s="20">
        <v>35.8</v>
      </c>
      <c r="O41" s="20">
        <v>72.6</v>
      </c>
      <c r="P41" s="20">
        <v>62.65</v>
      </c>
      <c r="R41" s="19">
        <v>4.0</v>
      </c>
      <c r="V41" s="19">
        <v>100017.0</v>
      </c>
      <c r="W41" s="19">
        <v>100128578.0</v>
      </c>
      <c r="X41" s="18" t="s">
        <v>107</v>
      </c>
      <c r="Y41" s="18" t="s">
        <v>107</v>
      </c>
      <c r="Z41" s="18" t="s">
        <v>108</v>
      </c>
      <c r="AA41" s="18" t="s">
        <v>126</v>
      </c>
      <c r="AB41" s="19">
        <v>4780.0</v>
      </c>
      <c r="AC41" s="19">
        <v>1.0</v>
      </c>
      <c r="AD41" s="19">
        <v>6668.0</v>
      </c>
      <c r="AE41" s="19">
        <v>18.0</v>
      </c>
      <c r="AF41" s="18" t="s">
        <v>70</v>
      </c>
      <c r="AG41" s="19">
        <v>4.0</v>
      </c>
      <c r="AH41" s="19">
        <v>1.0</v>
      </c>
      <c r="AI41" s="19">
        <v>2228.0</v>
      </c>
      <c r="AJ41" s="19">
        <v>4.0</v>
      </c>
      <c r="AK41" s="19">
        <v>0.0</v>
      </c>
      <c r="AL41" s="19">
        <v>0.0</v>
      </c>
      <c r="AM41" s="19">
        <v>0.0</v>
      </c>
      <c r="AN41" s="19">
        <v>0.0</v>
      </c>
      <c r="AO41" s="19">
        <v>0.0</v>
      </c>
      <c r="AP41" s="19">
        <v>0.0</v>
      </c>
      <c r="AQ41" s="19">
        <v>0.0</v>
      </c>
      <c r="AR41" s="19">
        <v>1.0</v>
      </c>
      <c r="AS41" s="19">
        <v>0.0</v>
      </c>
      <c r="AT41" s="19">
        <f>IF(5 = R41, C41 * -1, C41)</f>
        <v>0</v>
      </c>
      <c r="AU41" s="19">
        <f>IF(5 = R41, D41 * -1, D41)</f>
        <v>0</v>
      </c>
      <c r="AV41" s="19">
        <f>IF(5 = R41, E41 * -1, E41)</f>
        <v>0</v>
      </c>
      <c r="AW41" s="19">
        <f>IF(5 = R41, F41 * -1, F41)</f>
        <v>0</v>
      </c>
      <c r="AX41" s="19">
        <f>IF(5 = R41, G41 * -1, G41)</f>
        <v>0</v>
      </c>
      <c r="AY41" s="19">
        <f>IF(5 = R41, H41 * -1, H41)</f>
        <v>0</v>
      </c>
      <c r="AZ41" s="19">
        <f>IF(5 = R41, I41 * -1, I41)</f>
        <v>0</v>
      </c>
      <c r="BA41" s="19">
        <f>IF(5 = R41, J41 * -1, J41)</f>
        <v>9.95</v>
      </c>
      <c r="BB41" s="19">
        <v>0.0</v>
      </c>
      <c r="BC41" s="19">
        <f>IF(5 = R41, K41 * -1, K41)</f>
        <v>0</v>
      </c>
      <c r="BD41" s="19">
        <v>0.0</v>
      </c>
      <c r="BE41" s="19">
        <f>IF(5 = R41, L41 * -1, L41)</f>
        <v>0</v>
      </c>
      <c r="BF41" s="19">
        <f>IF(5 = R41, M41 * -1, M41)</f>
        <v>26.85</v>
      </c>
      <c r="BG41" s="19">
        <f>IF(5 = R41, N41 * -1, N41)</f>
        <v>35.8</v>
      </c>
      <c r="BH41" s="19">
        <f>IF(5 = R41, O41 * -1, O41)</f>
        <v>72.6</v>
      </c>
      <c r="BI41" s="19">
        <f>IF(5 = R41, P41 * -1, P41)</f>
        <v>62.65</v>
      </c>
    </row>
    <row r="42" spans="1:90">
      <c r="A42" s="9" t="s">
        <v>127</v>
      </c>
      <c r="B42" s="18" t="s">
        <v>128</v>
      </c>
      <c r="C42" s="20">
        <v>0.0</v>
      </c>
      <c r="D42" s="20">
        <v>0.0</v>
      </c>
      <c r="E42" s="20">
        <v>0.0</v>
      </c>
      <c r="F42" s="20">
        <v>0.0</v>
      </c>
      <c r="G42" s="20">
        <v>0.0</v>
      </c>
      <c r="H42" s="20">
        <v>0.0</v>
      </c>
      <c r="I42" s="20">
        <v>0.0</v>
      </c>
      <c r="J42" s="20">
        <v>4735.76</v>
      </c>
      <c r="K42" s="20">
        <v>0.0</v>
      </c>
      <c r="L42" s="20">
        <v>0.0</v>
      </c>
      <c r="M42" s="20">
        <v>0.0</v>
      </c>
      <c r="N42" s="20">
        <v>0.0</v>
      </c>
      <c r="O42" s="20">
        <v>4735.76</v>
      </c>
      <c r="P42" s="20">
        <v>0.0</v>
      </c>
      <c r="R42" s="19">
        <v>4.0</v>
      </c>
      <c r="V42" s="19">
        <v>100017.0</v>
      </c>
      <c r="W42" s="19">
        <v>100128578.0</v>
      </c>
      <c r="X42" s="18" t="s">
        <v>107</v>
      </c>
      <c r="Y42" s="18" t="s">
        <v>107</v>
      </c>
      <c r="Z42" s="18" t="s">
        <v>108</v>
      </c>
      <c r="AA42" s="18" t="s">
        <v>128</v>
      </c>
      <c r="AB42" s="19">
        <v>4800.0</v>
      </c>
      <c r="AC42" s="19">
        <v>1.0</v>
      </c>
      <c r="AD42" s="19">
        <v>6405.0</v>
      </c>
      <c r="AE42" s="19">
        <v>20.0</v>
      </c>
      <c r="AF42" s="18" t="s">
        <v>70</v>
      </c>
      <c r="AG42" s="19">
        <v>4.0</v>
      </c>
      <c r="AH42" s="19">
        <v>1.0</v>
      </c>
      <c r="AI42" s="19">
        <v>2228.0</v>
      </c>
      <c r="AJ42" s="19">
        <v>2.0</v>
      </c>
      <c r="AK42" s="19">
        <v>0.0</v>
      </c>
      <c r="AL42" s="19">
        <v>0.0</v>
      </c>
      <c r="AM42" s="19">
        <v>0.0</v>
      </c>
      <c r="AN42" s="19">
        <v>0.0</v>
      </c>
      <c r="AO42" s="19">
        <v>0.0</v>
      </c>
      <c r="AP42" s="19">
        <v>0.0</v>
      </c>
      <c r="AQ42" s="19">
        <v>0.0</v>
      </c>
      <c r="AR42" s="19">
        <v>0.0</v>
      </c>
      <c r="AS42" s="19">
        <v>0.0</v>
      </c>
      <c r="AT42" s="19">
        <f>IF(5 = R42, C42 * -1, C42)</f>
        <v>0</v>
      </c>
      <c r="AU42" s="19">
        <f>IF(5 = R42, D42 * -1, D42)</f>
        <v>0</v>
      </c>
      <c r="AV42" s="19">
        <f>IF(5 = R42, E42 * -1, E42)</f>
        <v>0</v>
      </c>
      <c r="AW42" s="19">
        <f>IF(5 = R42, F42 * -1, F42)</f>
        <v>0</v>
      </c>
      <c r="AX42" s="19">
        <f>IF(5 = R42, G42 * -1, G42)</f>
        <v>0</v>
      </c>
      <c r="AY42" s="19">
        <f>IF(5 = R42, H42 * -1, H42)</f>
        <v>0</v>
      </c>
      <c r="AZ42" s="19">
        <f>IF(5 = R42, I42 * -1, I42)</f>
        <v>0</v>
      </c>
      <c r="BA42" s="19">
        <f>IF(5 = R42, J42 * -1, J42)</f>
        <v>4735.76</v>
      </c>
      <c r="BB42" s="19">
        <v>0.0</v>
      </c>
      <c r="BC42" s="19">
        <f>IF(5 = R42, K42 * -1, K42)</f>
        <v>0</v>
      </c>
      <c r="BD42" s="19">
        <v>0.0</v>
      </c>
      <c r="BE42" s="19">
        <f>IF(5 = R42, L42 * -1, L42)</f>
        <v>0</v>
      </c>
      <c r="BF42" s="19">
        <f>IF(5 = R42, M42 * -1, M42)</f>
        <v>0</v>
      </c>
      <c r="BG42" s="19">
        <f>IF(5 = R42, N42 * -1, N42)</f>
        <v>0</v>
      </c>
      <c r="BH42" s="19">
        <f>IF(5 = R42, O42 * -1, O42)</f>
        <v>4735.76</v>
      </c>
      <c r="BI42" s="19">
        <f>IF(5 = R42, P42 * -1, P42)</f>
        <v>0</v>
      </c>
    </row>
    <row r="43" spans="1:90">
      <c r="B43" s="7" t="s">
        <v>104</v>
      </c>
      <c r="C43" s="12">
        <f>IF(5 = R43, AT43 * -1, AT43)</f>
        <v>0</v>
      </c>
      <c r="D43" s="12">
        <f>IF(5 = R43, AU43 * -1, AU43)</f>
        <v>0</v>
      </c>
      <c r="E43" s="12">
        <f>IF(5 = R43, AV43 * -1, AV43)</f>
        <v>0</v>
      </c>
      <c r="F43" s="12">
        <f>IF(5 = R43, AW43 * -1, AW43)</f>
        <v>0</v>
      </c>
      <c r="G43" s="12">
        <f>IF(5 = R43, AX43 * -1, AX43)</f>
        <v>0</v>
      </c>
      <c r="H43" s="12">
        <f>IF(5 = R43, AY43 * -1, AY43)</f>
        <v>0</v>
      </c>
      <c r="I43" s="12">
        <f>IF(5 = R43, AZ43 * -1, AZ43)</f>
        <v>6870.5</v>
      </c>
      <c r="J43" s="12">
        <f>IF(5 = R43, BA43 * -1, BA43)</f>
        <v>72523.31</v>
      </c>
      <c r="K43" s="12">
        <f>IF(5 = R43, BC43 * -1, BC43)</f>
        <v>1226</v>
      </c>
      <c r="L43" s="12">
        <f>IF(5 = R43, BE43 * -1, BE43)</f>
        <v>625.94</v>
      </c>
      <c r="M43" s="12">
        <f>IF(5 = R43, BF43 * -1, BF43)</f>
        <v>6683.85</v>
      </c>
      <c r="N43" s="12">
        <f>IF(5 = R43, BG43 * -1, BG43)</f>
        <v>3180.8</v>
      </c>
      <c r="O43" s="12">
        <f>IF(5 = R43, BH43 * -1, BH43)</f>
        <v>91110.4</v>
      </c>
      <c r="P43" s="12">
        <f>IF(5 = R43, BI43 * -1, BI43)</f>
        <v>11716.59</v>
      </c>
      <c r="R43" s="11">
        <v>4</v>
      </c>
      <c r="S43" s="13">
        <f>S42</f>
        <v>0</v>
      </c>
      <c r="T43" s="13">
        <f>T42</f>
        <v>0</v>
      </c>
      <c r="U43" s="11">
        <f>U42</f>
        <v>0</v>
      </c>
      <c r="V43" s="19"/>
      <c r="W43" s="19"/>
      <c r="X43" s="18"/>
      <c r="Y43" s="18"/>
      <c r="Z43" s="18"/>
      <c r="AA43" s="18"/>
      <c r="AB43" s="19"/>
      <c r="AC43" s="19"/>
      <c r="AD43" s="19"/>
      <c r="AE43" s="19"/>
      <c r="AF43" s="18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1">
        <f>SUM(AT32:AT42)</f>
        <v>0</v>
      </c>
      <c r="AU43" s="11">
        <f>SUM(AU32:AU42)</f>
        <v>0</v>
      </c>
      <c r="AV43" s="11">
        <f>SUM(AV32:AV42)</f>
        <v>0</v>
      </c>
      <c r="AW43" s="11">
        <f>SUM(AW32:AW42)</f>
        <v>0</v>
      </c>
      <c r="AX43" s="11">
        <f>SUM(AX32:AX42)</f>
        <v>0</v>
      </c>
      <c r="AY43" s="11">
        <f>SUM(AY32:AY42)</f>
        <v>0</v>
      </c>
      <c r="AZ43" s="11">
        <f>SUM(AZ32:AZ42)</f>
        <v>6870.5</v>
      </c>
      <c r="BA43" s="11">
        <f>SUM(BA32:BA42)</f>
        <v>72523.31</v>
      </c>
      <c r="BB43" s="19"/>
      <c r="BC43" s="11">
        <f>SUM(BC32:BC42)</f>
        <v>1226</v>
      </c>
      <c r="BD43" s="19"/>
      <c r="BE43" s="11">
        <f>SUM(BE32:BE42)</f>
        <v>625.94</v>
      </c>
      <c r="BF43" s="11">
        <f>SUM(BF32:BF42)</f>
        <v>6683.85</v>
      </c>
      <c r="BG43" s="11">
        <f>SUM(BG32:BG42)</f>
        <v>3180.8</v>
      </c>
      <c r="BH43" s="11">
        <f>SUM(BH32:BH42)</f>
        <v>91110.4</v>
      </c>
      <c r="BI43" s="11">
        <f>SUM(BI32:BI42)</f>
        <v>11716.59</v>
      </c>
    </row>
    <row r="44" spans="1:90">
      <c r="B44" s="18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R44" s="19"/>
      <c r="V44" s="19"/>
      <c r="W44" s="19"/>
      <c r="X44" s="18"/>
      <c r="Y44" s="18"/>
      <c r="Z44" s="18"/>
      <c r="AA44" s="18"/>
      <c r="AB44" s="19"/>
      <c r="AC44" s="19"/>
      <c r="AD44" s="19"/>
      <c r="AE44" s="19"/>
      <c r="AF44" s="18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</row>
    <row r="45" spans="1:90">
      <c r="B45" s="7" t="s">
        <v>64</v>
      </c>
      <c r="C45" s="12">
        <f>IF(5 = R45, AT45 * -1, AT45)</f>
        <v>0</v>
      </c>
      <c r="D45" s="12">
        <f>IF(5 = R45, AU45 * -1, AU45)</f>
        <v>0</v>
      </c>
      <c r="E45" s="12">
        <f>IF(5 = R45, AV45 * -1, AV45)</f>
        <v>0</v>
      </c>
      <c r="F45" s="12">
        <f>IF(5 = R45, AW45 * -1, AW45)</f>
        <v>0</v>
      </c>
      <c r="G45" s="12">
        <f>IF(5 = R45, AX45 * -1, AX45)</f>
        <v>0</v>
      </c>
      <c r="H45" s="12">
        <f>IF(5 = R45, AY45 * -1, AY45)</f>
        <v>0</v>
      </c>
      <c r="I45" s="12">
        <f>IF(5 = R45, AZ45 * -1, AZ45)</f>
        <v>35501.43</v>
      </c>
      <c r="J45" s="12">
        <f>IF(5 = R45, BA45 * -1, BA45)</f>
        <v>1409146.88</v>
      </c>
      <c r="K45" s="12">
        <f>IF(5 = R45, BC45 * -1, BC45)</f>
        <v>84418.6</v>
      </c>
      <c r="L45" s="12">
        <f>IF(5 = R45, BE45 * -1, BE45)</f>
        <v>85387.75</v>
      </c>
      <c r="M45" s="12">
        <f>IF(5 = R45, BF45 * -1, BF45)</f>
        <v>90058.92</v>
      </c>
      <c r="N45" s="12">
        <f>IF(5 = R45, BG45 * -1, BG45)</f>
        <v>90429.98</v>
      </c>
      <c r="O45" s="12">
        <f>IF(5 = R45, BH45 * -1, BH45)</f>
        <v>1794943.56</v>
      </c>
      <c r="P45" s="12">
        <f>IF(5 = R45, BI45 * -1, BI45)</f>
        <v>350295.25</v>
      </c>
      <c r="R45" s="11">
        <v>4</v>
      </c>
      <c r="S45" s="13">
        <f>S42</f>
        <v>0</v>
      </c>
      <c r="T45" s="13">
        <f>T42</f>
        <v>0</v>
      </c>
      <c r="U45" s="11">
        <f>U42</f>
        <v>0</v>
      </c>
      <c r="V45" s="19"/>
      <c r="W45" s="19"/>
      <c r="X45" s="18"/>
      <c r="Y45" s="18"/>
      <c r="Z45" s="18"/>
      <c r="AA45" s="18"/>
      <c r="AB45" s="19"/>
      <c r="AC45" s="19"/>
      <c r="AD45" s="19"/>
      <c r="AE45" s="19"/>
      <c r="AF45" s="18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1">
        <f>SUM(AT10:AT20)+SUM(AT24:AT28)+SUM(AT32:AT42)</f>
        <v>0</v>
      </c>
      <c r="AU45" s="11">
        <f>SUM(AU10:AU20)+SUM(AU24:AU28)+SUM(AU32:AU42)</f>
        <v>0</v>
      </c>
      <c r="AV45" s="11">
        <f>SUM(AV10:AV20)+SUM(AV24:AV28)+SUM(AV32:AV42)</f>
        <v>0</v>
      </c>
      <c r="AW45" s="11">
        <f>SUM(AW10:AW20)+SUM(AW24:AW28)+SUM(AW32:AW42)</f>
        <v>0</v>
      </c>
      <c r="AX45" s="11">
        <f>SUM(AX10:AX20)+SUM(AX24:AX28)+SUM(AX32:AX42)</f>
        <v>0</v>
      </c>
      <c r="AY45" s="11">
        <f>SUM(AY10:AY20)+SUM(AY24:AY28)+SUM(AY32:AY42)</f>
        <v>0</v>
      </c>
      <c r="AZ45" s="11">
        <f>SUM(AZ10:AZ20)+SUM(AZ24:AZ28)+SUM(AZ32:AZ42)</f>
        <v>35501.43</v>
      </c>
      <c r="BA45" s="11">
        <f>SUM(BA10:BA20)+SUM(BA24:BA28)+SUM(BA32:BA42)</f>
        <v>1409146.88</v>
      </c>
      <c r="BB45" s="19"/>
      <c r="BC45" s="11">
        <f>SUM(BC10:BC20)+SUM(BC24:BC28)+SUM(BC32:BC42)</f>
        <v>84418.6</v>
      </c>
      <c r="BD45" s="19"/>
      <c r="BE45" s="11">
        <f>SUM(BE10:BE20)+SUM(BE24:BE28)+SUM(BE32:BE42)</f>
        <v>85387.75</v>
      </c>
      <c r="BF45" s="11">
        <f>SUM(BF10:BF20)+SUM(BF24:BF28)+SUM(BF32:BF42)</f>
        <v>90058.92</v>
      </c>
      <c r="BG45" s="11">
        <f>SUM(BG10:BG20)+SUM(BG24:BG28)+SUM(BG32:BG42)</f>
        <v>90429.98</v>
      </c>
      <c r="BH45" s="11">
        <f>SUM(BH10:BH20)+SUM(BH24:BH28)+SUM(BH32:BH42)</f>
        <v>1794943.56</v>
      </c>
      <c r="BI45" s="11">
        <f>SUM(BI10:BI20)+SUM(BI24:BI28)+SUM(BI32:BI42)</f>
        <v>350295.25</v>
      </c>
    </row>
    <row r="46" spans="1:90">
      <c r="B46" s="18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R46" s="19"/>
      <c r="V46" s="19"/>
      <c r="W46" s="19"/>
      <c r="X46" s="18"/>
      <c r="Y46" s="18"/>
      <c r="Z46" s="18"/>
      <c r="AA46" s="18"/>
      <c r="AB46" s="19"/>
      <c r="AC46" s="19"/>
      <c r="AD46" s="19"/>
      <c r="AE46" s="19"/>
      <c r="AF46" s="18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spans="1:90">
      <c r="A47" s="7" t="s">
        <v>129</v>
      </c>
      <c r="B47" s="18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R47" s="19"/>
      <c r="V47" s="19"/>
      <c r="W47" s="19"/>
      <c r="X47" s="18"/>
      <c r="Y47" s="18"/>
      <c r="Z47" s="18"/>
      <c r="AA47" s="18"/>
      <c r="AB47" s="19"/>
      <c r="AC47" s="19"/>
      <c r="AD47" s="19"/>
      <c r="AE47" s="19"/>
      <c r="AF47" s="18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spans="1:90">
      <c r="A48" s="8" t="s">
        <v>130</v>
      </c>
      <c r="B48" s="18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R48" s="19"/>
      <c r="V48" s="19"/>
      <c r="W48" s="19"/>
      <c r="X48" s="18"/>
      <c r="Y48" s="18"/>
      <c r="Z48" s="18"/>
      <c r="AA48" s="18"/>
      <c r="AB48" s="19"/>
      <c r="AC48" s="19"/>
      <c r="AD48" s="19"/>
      <c r="AE48" s="19"/>
      <c r="AF48" s="18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</row>
    <row r="49" spans="1:90">
      <c r="A49" s="9" t="s">
        <v>131</v>
      </c>
      <c r="B49" s="18" t="s">
        <v>132</v>
      </c>
      <c r="C49" s="20">
        <v>0.0</v>
      </c>
      <c r="D49" s="20">
        <v>0.0</v>
      </c>
      <c r="E49" s="20">
        <v>0.0</v>
      </c>
      <c r="F49" s="20">
        <v>0.0</v>
      </c>
      <c r="G49" s="20">
        <v>0.0</v>
      </c>
      <c r="H49" s="20">
        <v>0.0</v>
      </c>
      <c r="I49" s="20">
        <v>905.96</v>
      </c>
      <c r="J49" s="20">
        <v>126958.75</v>
      </c>
      <c r="K49" s="20">
        <v>1825.58</v>
      </c>
      <c r="L49" s="20">
        <v>1825.56</v>
      </c>
      <c r="M49" s="20">
        <v>1825.56</v>
      </c>
      <c r="N49" s="20">
        <v>1362.78</v>
      </c>
      <c r="O49" s="20">
        <v>134704.19</v>
      </c>
      <c r="P49" s="20">
        <v>6839.48</v>
      </c>
      <c r="R49" s="19">
        <v>5.0</v>
      </c>
      <c r="V49" s="19">
        <v>100017.0</v>
      </c>
      <c r="W49" s="19">
        <v>100128578.0</v>
      </c>
      <c r="X49" s="18" t="s">
        <v>133</v>
      </c>
      <c r="Y49" s="18" t="s">
        <v>133</v>
      </c>
      <c r="Z49" s="18" t="s">
        <v>134</v>
      </c>
      <c r="AA49" s="18" t="s">
        <v>132</v>
      </c>
      <c r="AB49" s="19">
        <v>5020.0</v>
      </c>
      <c r="AC49" s="19">
        <v>1.0</v>
      </c>
      <c r="AD49" s="19">
        <v>6406.0</v>
      </c>
      <c r="AE49" s="19">
        <v>0.0</v>
      </c>
      <c r="AF49" s="18" t="s">
        <v>135</v>
      </c>
      <c r="AG49" s="19">
        <v>5.0</v>
      </c>
      <c r="AH49" s="19">
        <v>-1.0</v>
      </c>
      <c r="AI49" s="19">
        <v>2227.0</v>
      </c>
      <c r="AJ49" s="19">
        <v>6.0</v>
      </c>
      <c r="AK49" s="19">
        <v>0.0</v>
      </c>
      <c r="AL49" s="19">
        <v>0.0</v>
      </c>
      <c r="AM49" s="19">
        <v>0.0</v>
      </c>
      <c r="AN49" s="19">
        <v>0.0</v>
      </c>
      <c r="AO49" s="19">
        <v>905.96</v>
      </c>
      <c r="AP49" s="19">
        <v>1.0</v>
      </c>
      <c r="AQ49" s="19">
        <v>1825.56</v>
      </c>
      <c r="AR49" s="19">
        <v>1.0</v>
      </c>
      <c r="AS49" s="19">
        <v>0.0</v>
      </c>
      <c r="AT49" s="19">
        <f>IF(5 = R49, C49 * -1, C49)</f>
        <v>-0</v>
      </c>
      <c r="AU49" s="19">
        <f>IF(5 = R49, D49 * -1, D49)</f>
        <v>-0</v>
      </c>
      <c r="AV49" s="19">
        <f>IF(5 = R49, E49 * -1, E49)</f>
        <v>-0</v>
      </c>
      <c r="AW49" s="19">
        <f>IF(5 = R49, F49 * -1, F49)</f>
        <v>-0</v>
      </c>
      <c r="AX49" s="19">
        <f>IF(5 = R49, G49 * -1, G49)</f>
        <v>-0</v>
      </c>
      <c r="AY49" s="19">
        <f>IF(5 = R49, H49 * -1, H49)</f>
        <v>-0</v>
      </c>
      <c r="AZ49" s="19">
        <f>IF(5 = R49, I49 * -1, I49)</f>
        <v>-905.96</v>
      </c>
      <c r="BA49" s="19">
        <f>IF(5 = R49, J49 * -1, J49)</f>
        <v>-126958.75</v>
      </c>
      <c r="BB49" s="19">
        <v>-1825.58</v>
      </c>
      <c r="BC49" s="19">
        <f>IF(5 = R49, K49 * -1, K49)</f>
        <v>-1825.58</v>
      </c>
      <c r="BD49" s="19">
        <v>-1825.56</v>
      </c>
      <c r="BE49" s="19">
        <f>IF(5 = R49, L49 * -1, L49)</f>
        <v>-1825.56</v>
      </c>
      <c r="BF49" s="19">
        <f>IF(5 = R49, M49 * -1, M49)</f>
        <v>-1825.56</v>
      </c>
      <c r="BG49" s="19">
        <f>IF(5 = R49, N49 * -1, N49)</f>
        <v>-1362.78</v>
      </c>
      <c r="BH49" s="19">
        <f>IF(5 = R49, O49 * -1, O49)</f>
        <v>-134704.19</v>
      </c>
      <c r="BI49" s="19">
        <f>IF(5 = R49, P49 * -1, P49)</f>
        <v>-6839.48</v>
      </c>
    </row>
    <row r="50" spans="1:90">
      <c r="A50" s="9" t="s">
        <v>136</v>
      </c>
      <c r="B50" s="18" t="s">
        <v>137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1029.56</v>
      </c>
      <c r="J50" s="20">
        <v>90314.86</v>
      </c>
      <c r="K50" s="20">
        <v>2487.51</v>
      </c>
      <c r="L50" s="20">
        <v>3459.59</v>
      </c>
      <c r="M50" s="20">
        <v>3569.91</v>
      </c>
      <c r="N50" s="20">
        <v>1558.17</v>
      </c>
      <c r="O50" s="20">
        <v>102419.6</v>
      </c>
      <c r="P50" s="20">
        <v>11075.18</v>
      </c>
      <c r="R50" s="19">
        <v>5.0</v>
      </c>
      <c r="V50" s="19">
        <v>100017.0</v>
      </c>
      <c r="W50" s="19">
        <v>100128578.0</v>
      </c>
      <c r="X50" s="18" t="s">
        <v>133</v>
      </c>
      <c r="Y50" s="18" t="s">
        <v>133</v>
      </c>
      <c r="Z50" s="18" t="s">
        <v>134</v>
      </c>
      <c r="AA50" s="18" t="s">
        <v>137</v>
      </c>
      <c r="AB50" s="19">
        <v>5040.0</v>
      </c>
      <c r="AC50" s="19">
        <v>1.0</v>
      </c>
      <c r="AD50" s="19">
        <v>6407.0</v>
      </c>
      <c r="AE50" s="19">
        <v>1.0</v>
      </c>
      <c r="AF50" s="18" t="s">
        <v>135</v>
      </c>
      <c r="AG50" s="19">
        <v>5.0</v>
      </c>
      <c r="AH50" s="19">
        <v>-1.0</v>
      </c>
      <c r="AI50" s="19">
        <v>2227.0</v>
      </c>
      <c r="AJ50" s="19">
        <v>6.0</v>
      </c>
      <c r="AK50" s="19">
        <v>0.0</v>
      </c>
      <c r="AL50" s="19">
        <v>0.0</v>
      </c>
      <c r="AM50" s="19">
        <v>0.0</v>
      </c>
      <c r="AN50" s="19">
        <v>0.0</v>
      </c>
      <c r="AO50" s="19">
        <v>1029.56</v>
      </c>
      <c r="AP50" s="19">
        <v>1.0</v>
      </c>
      <c r="AQ50" s="19">
        <v>3459.59</v>
      </c>
      <c r="AR50" s="19">
        <v>1.0</v>
      </c>
      <c r="AS50" s="19">
        <v>0.0</v>
      </c>
      <c r="AT50" s="19">
        <f>IF(5 = R50, C50 * -1, C50)</f>
        <v>-0</v>
      </c>
      <c r="AU50" s="19">
        <f>IF(5 = R50, D50 * -1, D50)</f>
        <v>-0</v>
      </c>
      <c r="AV50" s="19">
        <f>IF(5 = R50, E50 * -1, E50)</f>
        <v>-0</v>
      </c>
      <c r="AW50" s="19">
        <f>IF(5 = R50, F50 * -1, F50)</f>
        <v>-0</v>
      </c>
      <c r="AX50" s="19">
        <f>IF(5 = R50, G50 * -1, G50)</f>
        <v>-0</v>
      </c>
      <c r="AY50" s="19">
        <f>IF(5 = R50, H50 * -1, H50)</f>
        <v>-0</v>
      </c>
      <c r="AZ50" s="19">
        <f>IF(5 = R50, I50 * -1, I50)</f>
        <v>-1029.56</v>
      </c>
      <c r="BA50" s="19">
        <f>IF(5 = R50, J50 * -1, J50)</f>
        <v>-90314.86</v>
      </c>
      <c r="BB50" s="19">
        <v>-2487.51</v>
      </c>
      <c r="BC50" s="19">
        <f>IF(5 = R50, K50 * -1, K50)</f>
        <v>-2487.51</v>
      </c>
      <c r="BD50" s="19">
        <v>-3459.59</v>
      </c>
      <c r="BE50" s="19">
        <f>IF(5 = R50, L50 * -1, L50)</f>
        <v>-3459.59</v>
      </c>
      <c r="BF50" s="19">
        <f>IF(5 = R50, M50 * -1, M50)</f>
        <v>-3569.91</v>
      </c>
      <c r="BG50" s="19">
        <f>IF(5 = R50, N50 * -1, N50)</f>
        <v>-1558.17</v>
      </c>
      <c r="BH50" s="19">
        <f>IF(5 = R50, O50 * -1, O50)</f>
        <v>-102419.6</v>
      </c>
      <c r="BI50" s="19">
        <f>IF(5 = R50, P50 * -1, P50)</f>
        <v>-11075.18</v>
      </c>
    </row>
    <row r="51" spans="1:90">
      <c r="A51" s="9" t="s">
        <v>138</v>
      </c>
      <c r="B51" s="18" t="s">
        <v>139</v>
      </c>
      <c r="C51" s="20">
        <v>0.0</v>
      </c>
      <c r="D51" s="20">
        <v>0.0</v>
      </c>
      <c r="E51" s="20">
        <v>0.0</v>
      </c>
      <c r="F51" s="20">
        <v>0.0</v>
      </c>
      <c r="G51" s="20">
        <v>0.0</v>
      </c>
      <c r="H51" s="20">
        <v>0.0</v>
      </c>
      <c r="I51" s="20">
        <v>0.0</v>
      </c>
      <c r="J51" s="20">
        <v>577.5</v>
      </c>
      <c r="K51" s="20">
        <v>420.0</v>
      </c>
      <c r="L51" s="20">
        <v>735.0</v>
      </c>
      <c r="M51" s="20">
        <v>1575.0</v>
      </c>
      <c r="N51" s="20">
        <v>1260.0</v>
      </c>
      <c r="O51" s="20">
        <v>4567.5</v>
      </c>
      <c r="P51" s="20">
        <v>3990.0</v>
      </c>
      <c r="R51" s="19">
        <v>5.0</v>
      </c>
      <c r="V51" s="19">
        <v>100017.0</v>
      </c>
      <c r="W51" s="19">
        <v>100128578.0</v>
      </c>
      <c r="X51" s="18" t="s">
        <v>133</v>
      </c>
      <c r="Y51" s="18" t="s">
        <v>133</v>
      </c>
      <c r="Z51" s="18" t="s">
        <v>134</v>
      </c>
      <c r="AA51" s="18" t="s">
        <v>139</v>
      </c>
      <c r="AB51" s="19">
        <v>5080.0</v>
      </c>
      <c r="AC51" s="19">
        <v>1.0</v>
      </c>
      <c r="AD51" s="19">
        <v>6408.0</v>
      </c>
      <c r="AE51" s="19">
        <v>2.0</v>
      </c>
      <c r="AF51" s="18" t="s">
        <v>135</v>
      </c>
      <c r="AG51" s="19">
        <v>5.0</v>
      </c>
      <c r="AH51" s="19">
        <v>-1.0</v>
      </c>
      <c r="AI51" s="19">
        <v>2227.0</v>
      </c>
      <c r="AJ51" s="19">
        <v>5.0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0.0</v>
      </c>
      <c r="AQ51" s="19">
        <v>735.0</v>
      </c>
      <c r="AR51" s="19">
        <v>1.0</v>
      </c>
      <c r="AS51" s="19">
        <v>0.0</v>
      </c>
      <c r="AT51" s="19">
        <f>IF(5 = R51, C51 * -1, C51)</f>
        <v>-0</v>
      </c>
      <c r="AU51" s="19">
        <f>IF(5 = R51, D51 * -1, D51)</f>
        <v>-0</v>
      </c>
      <c r="AV51" s="19">
        <f>IF(5 = R51, E51 * -1, E51)</f>
        <v>-0</v>
      </c>
      <c r="AW51" s="19">
        <f>IF(5 = R51, F51 * -1, F51)</f>
        <v>-0</v>
      </c>
      <c r="AX51" s="19">
        <f>IF(5 = R51, G51 * -1, G51)</f>
        <v>-0</v>
      </c>
      <c r="AY51" s="19">
        <f>IF(5 = R51, H51 * -1, H51)</f>
        <v>-0</v>
      </c>
      <c r="AZ51" s="19">
        <f>IF(5 = R51, I51 * -1, I51)</f>
        <v>-0</v>
      </c>
      <c r="BA51" s="19">
        <f>IF(5 = R51, J51 * -1, J51)</f>
        <v>-577.5</v>
      </c>
      <c r="BB51" s="19">
        <v>-420.0</v>
      </c>
      <c r="BC51" s="19">
        <f>IF(5 = R51, K51 * -1, K51)</f>
        <v>-420</v>
      </c>
      <c r="BD51" s="19">
        <v>-735.0</v>
      </c>
      <c r="BE51" s="19">
        <f>IF(5 = R51, L51 * -1, L51)</f>
        <v>-735</v>
      </c>
      <c r="BF51" s="19">
        <f>IF(5 = R51, M51 * -1, M51)</f>
        <v>-1575</v>
      </c>
      <c r="BG51" s="19">
        <f>IF(5 = R51, N51 * -1, N51)</f>
        <v>-1260</v>
      </c>
      <c r="BH51" s="19">
        <f>IF(5 = R51, O51 * -1, O51)</f>
        <v>-4567.5</v>
      </c>
      <c r="BI51" s="19">
        <f>IF(5 = R51, P51 * -1, P51)</f>
        <v>-3990</v>
      </c>
    </row>
    <row r="52" spans="1:90">
      <c r="A52" s="9" t="s">
        <v>140</v>
      </c>
      <c r="B52" s="18" t="s">
        <v>141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385.0</v>
      </c>
      <c r="K52" s="20">
        <v>-338.33</v>
      </c>
      <c r="L52" s="20">
        <v>125.0</v>
      </c>
      <c r="M52" s="20">
        <v>425.0</v>
      </c>
      <c r="N52" s="20">
        <v>450.0</v>
      </c>
      <c r="O52" s="20">
        <v>1046.67</v>
      </c>
      <c r="P52" s="20">
        <v>661.67</v>
      </c>
      <c r="R52" s="19">
        <v>5.0</v>
      </c>
      <c r="V52" s="19">
        <v>100017.0</v>
      </c>
      <c r="W52" s="19">
        <v>100128578.0</v>
      </c>
      <c r="X52" s="18" t="s">
        <v>133</v>
      </c>
      <c r="Y52" s="18" t="s">
        <v>133</v>
      </c>
      <c r="Z52" s="18" t="s">
        <v>134</v>
      </c>
      <c r="AA52" s="18" t="s">
        <v>141</v>
      </c>
      <c r="AB52" s="19">
        <v>5110.0</v>
      </c>
      <c r="AC52" s="19">
        <v>1.0</v>
      </c>
      <c r="AD52" s="19">
        <v>6410.0</v>
      </c>
      <c r="AE52" s="19">
        <v>4.0</v>
      </c>
      <c r="AF52" s="18" t="s">
        <v>135</v>
      </c>
      <c r="AG52" s="19">
        <v>5.0</v>
      </c>
      <c r="AH52" s="19">
        <v>-1.0</v>
      </c>
      <c r="AI52" s="19">
        <v>2227.0</v>
      </c>
      <c r="AJ52" s="19">
        <v>5.0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125.0</v>
      </c>
      <c r="AR52" s="19">
        <v>1.0</v>
      </c>
      <c r="AS52" s="19">
        <v>0.0</v>
      </c>
      <c r="AT52" s="19">
        <f>IF(5 = R52, C52 * -1, C52)</f>
        <v>-0</v>
      </c>
      <c r="AU52" s="19">
        <f>IF(5 = R52, D52 * -1, D52)</f>
        <v>-0</v>
      </c>
      <c r="AV52" s="19">
        <f>IF(5 = R52, E52 * -1, E52)</f>
        <v>-0</v>
      </c>
      <c r="AW52" s="19">
        <f>IF(5 = R52, F52 * -1, F52)</f>
        <v>-0</v>
      </c>
      <c r="AX52" s="19">
        <f>IF(5 = R52, G52 * -1, G52)</f>
        <v>-0</v>
      </c>
      <c r="AY52" s="19">
        <f>IF(5 = R52, H52 * -1, H52)</f>
        <v>-0</v>
      </c>
      <c r="AZ52" s="19">
        <f>IF(5 = R52, I52 * -1, I52)</f>
        <v>-0</v>
      </c>
      <c r="BA52" s="19">
        <f>IF(5 = R52, J52 * -1, J52)</f>
        <v>-385</v>
      </c>
      <c r="BB52" s="19">
        <v>338.33</v>
      </c>
      <c r="BC52" s="19">
        <f>IF(5 = R52, K52 * -1, K52)</f>
        <v>338.33</v>
      </c>
      <c r="BD52" s="19">
        <v>-125.0</v>
      </c>
      <c r="BE52" s="19">
        <f>IF(5 = R52, L52 * -1, L52)</f>
        <v>-125</v>
      </c>
      <c r="BF52" s="19">
        <f>IF(5 = R52, M52 * -1, M52)</f>
        <v>-425</v>
      </c>
      <c r="BG52" s="19">
        <f>IF(5 = R52, N52 * -1, N52)</f>
        <v>-450</v>
      </c>
      <c r="BH52" s="19">
        <f>IF(5 = R52, O52 * -1, O52)</f>
        <v>-1046.67</v>
      </c>
      <c r="BI52" s="19">
        <f>IF(5 = R52, P52 * -1, P52)</f>
        <v>-661.67</v>
      </c>
    </row>
    <row r="53" spans="1:90">
      <c r="A53" s="9" t="s">
        <v>142</v>
      </c>
      <c r="B53" s="18" t="s">
        <v>143</v>
      </c>
      <c r="C53" s="20">
        <v>0.0</v>
      </c>
      <c r="D53" s="20">
        <v>0.0</v>
      </c>
      <c r="E53" s="20">
        <v>0.0</v>
      </c>
      <c r="F53" s="20">
        <v>0.0</v>
      </c>
      <c r="G53" s="20">
        <v>0.0</v>
      </c>
      <c r="H53" s="20">
        <v>0.0</v>
      </c>
      <c r="I53" s="20">
        <v>156.0</v>
      </c>
      <c r="J53" s="20">
        <v>28008.37</v>
      </c>
      <c r="K53" s="20">
        <v>392.5</v>
      </c>
      <c r="L53" s="20">
        <v>713.58</v>
      </c>
      <c r="M53" s="20">
        <v>748.11</v>
      </c>
      <c r="N53" s="20">
        <v>366.41</v>
      </c>
      <c r="O53" s="20">
        <v>30384.97</v>
      </c>
      <c r="P53" s="20">
        <v>2220.6</v>
      </c>
      <c r="R53" s="19">
        <v>5.0</v>
      </c>
      <c r="V53" s="19">
        <v>100017.0</v>
      </c>
      <c r="W53" s="19">
        <v>100128578.0</v>
      </c>
      <c r="X53" s="18" t="s">
        <v>133</v>
      </c>
      <c r="Y53" s="18" t="s">
        <v>133</v>
      </c>
      <c r="Z53" s="18" t="s">
        <v>134</v>
      </c>
      <c r="AA53" s="18" t="s">
        <v>143</v>
      </c>
      <c r="AB53" s="19">
        <v>5210.0</v>
      </c>
      <c r="AC53" s="19">
        <v>1.0</v>
      </c>
      <c r="AD53" s="19">
        <v>6411.0</v>
      </c>
      <c r="AE53" s="19">
        <v>5.0</v>
      </c>
      <c r="AF53" s="18" t="s">
        <v>135</v>
      </c>
      <c r="AG53" s="19">
        <v>5.0</v>
      </c>
      <c r="AH53" s="19">
        <v>-1.0</v>
      </c>
      <c r="AI53" s="19">
        <v>2227.0</v>
      </c>
      <c r="AJ53" s="19">
        <v>8.0</v>
      </c>
      <c r="AK53" s="19">
        <v>0.0</v>
      </c>
      <c r="AL53" s="19">
        <v>0.0</v>
      </c>
      <c r="AM53" s="19">
        <v>0.0</v>
      </c>
      <c r="AN53" s="19">
        <v>0.0</v>
      </c>
      <c r="AO53" s="19">
        <v>156.0</v>
      </c>
      <c r="AP53" s="19">
        <v>1.0</v>
      </c>
      <c r="AQ53" s="19">
        <v>713.58</v>
      </c>
      <c r="AR53" s="19">
        <v>1.0</v>
      </c>
      <c r="AS53" s="19">
        <v>0.0</v>
      </c>
      <c r="AT53" s="19">
        <f>IF(5 = R53, C53 * -1, C53)</f>
        <v>-0</v>
      </c>
      <c r="AU53" s="19">
        <f>IF(5 = R53, D53 * -1, D53)</f>
        <v>-0</v>
      </c>
      <c r="AV53" s="19">
        <f>IF(5 = R53, E53 * -1, E53)</f>
        <v>-0</v>
      </c>
      <c r="AW53" s="19">
        <f>IF(5 = R53, F53 * -1, F53)</f>
        <v>-0</v>
      </c>
      <c r="AX53" s="19">
        <f>IF(5 = R53, G53 * -1, G53)</f>
        <v>-0</v>
      </c>
      <c r="AY53" s="19">
        <f>IF(5 = R53, H53 * -1, H53)</f>
        <v>-0</v>
      </c>
      <c r="AZ53" s="19">
        <f>IF(5 = R53, I53 * -1, I53)</f>
        <v>-156</v>
      </c>
      <c r="BA53" s="19">
        <f>IF(5 = R53, J53 * -1, J53)</f>
        <v>-28008.37</v>
      </c>
      <c r="BB53" s="19">
        <v>-392.5</v>
      </c>
      <c r="BC53" s="19">
        <f>IF(5 = R53, K53 * -1, K53)</f>
        <v>-392.5</v>
      </c>
      <c r="BD53" s="19">
        <v>-713.58</v>
      </c>
      <c r="BE53" s="19">
        <f>IF(5 = R53, L53 * -1, L53)</f>
        <v>-713.58</v>
      </c>
      <c r="BF53" s="19">
        <f>IF(5 = R53, M53 * -1, M53)</f>
        <v>-748.11</v>
      </c>
      <c r="BG53" s="19">
        <f>IF(5 = R53, N53 * -1, N53)</f>
        <v>-366.41</v>
      </c>
      <c r="BH53" s="19">
        <f>IF(5 = R53, O53 * -1, O53)</f>
        <v>-30384.97</v>
      </c>
      <c r="BI53" s="19">
        <f>IF(5 = R53, P53 * -1, P53)</f>
        <v>-2220.6</v>
      </c>
    </row>
    <row r="54" spans="1:90">
      <c r="A54" s="9" t="s">
        <v>144</v>
      </c>
      <c r="B54" s="18" t="s">
        <v>145</v>
      </c>
      <c r="C54" s="20">
        <v>0.0</v>
      </c>
      <c r="D54" s="20">
        <v>0.0</v>
      </c>
      <c r="E54" s="20">
        <v>0.0</v>
      </c>
      <c r="F54" s="20">
        <v>0.0</v>
      </c>
      <c r="G54" s="20">
        <v>0.0</v>
      </c>
      <c r="H54" s="20">
        <v>0.0</v>
      </c>
      <c r="I54" s="20">
        <v>215.26</v>
      </c>
      <c r="J54" s="20">
        <v>28457.07</v>
      </c>
      <c r="K54" s="20">
        <v>261.18</v>
      </c>
      <c r="L54" s="20">
        <v>494.93</v>
      </c>
      <c r="M54" s="20">
        <v>444.32</v>
      </c>
      <c r="N54" s="20">
        <v>528.4</v>
      </c>
      <c r="O54" s="20">
        <v>30401.16</v>
      </c>
      <c r="P54" s="20">
        <v>1728.83</v>
      </c>
      <c r="R54" s="19">
        <v>5.0</v>
      </c>
      <c r="V54" s="19">
        <v>100017.0</v>
      </c>
      <c r="W54" s="19">
        <v>100128578.0</v>
      </c>
      <c r="X54" s="18" t="s">
        <v>133</v>
      </c>
      <c r="Y54" s="18" t="s">
        <v>133</v>
      </c>
      <c r="Z54" s="18" t="s">
        <v>134</v>
      </c>
      <c r="AA54" s="18" t="s">
        <v>145</v>
      </c>
      <c r="AB54" s="19">
        <v>5220.0</v>
      </c>
      <c r="AC54" s="19">
        <v>1.0</v>
      </c>
      <c r="AD54" s="19">
        <v>6412.0</v>
      </c>
      <c r="AE54" s="19">
        <v>6.0</v>
      </c>
      <c r="AF54" s="18" t="s">
        <v>135</v>
      </c>
      <c r="AG54" s="19">
        <v>5.0</v>
      </c>
      <c r="AH54" s="19">
        <v>-1.0</v>
      </c>
      <c r="AI54" s="19">
        <v>2227.0</v>
      </c>
      <c r="AJ54" s="19">
        <v>7.0</v>
      </c>
      <c r="AK54" s="19">
        <v>0.0</v>
      </c>
      <c r="AL54" s="19">
        <v>0.0</v>
      </c>
      <c r="AM54" s="19">
        <v>0.0</v>
      </c>
      <c r="AN54" s="19">
        <v>0.0</v>
      </c>
      <c r="AO54" s="19">
        <v>215.26</v>
      </c>
      <c r="AP54" s="19">
        <v>1.0</v>
      </c>
      <c r="AQ54" s="19">
        <v>494.93</v>
      </c>
      <c r="AR54" s="19">
        <v>1.0</v>
      </c>
      <c r="AS54" s="19">
        <v>0.0</v>
      </c>
      <c r="AT54" s="19">
        <f>IF(5 = R54, C54 * -1, C54)</f>
        <v>-0</v>
      </c>
      <c r="AU54" s="19">
        <f>IF(5 = R54, D54 * -1, D54)</f>
        <v>-0</v>
      </c>
      <c r="AV54" s="19">
        <f>IF(5 = R54, E54 * -1, E54)</f>
        <v>-0</v>
      </c>
      <c r="AW54" s="19">
        <f>IF(5 = R54, F54 * -1, F54)</f>
        <v>-0</v>
      </c>
      <c r="AX54" s="19">
        <f>IF(5 = R54, G54 * -1, G54)</f>
        <v>-0</v>
      </c>
      <c r="AY54" s="19">
        <f>IF(5 = R54, H54 * -1, H54)</f>
        <v>-0</v>
      </c>
      <c r="AZ54" s="19">
        <f>IF(5 = R54, I54 * -1, I54)</f>
        <v>-215.26</v>
      </c>
      <c r="BA54" s="19">
        <f>IF(5 = R54, J54 * -1, J54)</f>
        <v>-28457.07</v>
      </c>
      <c r="BB54" s="19">
        <v>-261.18</v>
      </c>
      <c r="BC54" s="19">
        <f>IF(5 = R54, K54 * -1, K54)</f>
        <v>-261.18</v>
      </c>
      <c r="BD54" s="19">
        <v>-494.93</v>
      </c>
      <c r="BE54" s="19">
        <f>IF(5 = R54, L54 * -1, L54)</f>
        <v>-494.93</v>
      </c>
      <c r="BF54" s="19">
        <f>IF(5 = R54, M54 * -1, M54)</f>
        <v>-444.32</v>
      </c>
      <c r="BG54" s="19">
        <f>IF(5 = R54, N54 * -1, N54)</f>
        <v>-528.4</v>
      </c>
      <c r="BH54" s="19">
        <f>IF(5 = R54, O54 * -1, O54)</f>
        <v>-30401.16</v>
      </c>
      <c r="BI54" s="19">
        <f>IF(5 = R54, P54 * -1, P54)</f>
        <v>-1728.83</v>
      </c>
    </row>
    <row r="55" spans="1:90">
      <c r="A55" s="9" t="s">
        <v>146</v>
      </c>
      <c r="B55" s="18" t="s">
        <v>147</v>
      </c>
      <c r="C55" s="20">
        <v>0.0</v>
      </c>
      <c r="D55" s="20">
        <v>0.0</v>
      </c>
      <c r="E55" s="20">
        <v>0.0</v>
      </c>
      <c r="F55" s="20">
        <v>0.0</v>
      </c>
      <c r="G55" s="20">
        <v>0.0</v>
      </c>
      <c r="H55" s="20">
        <v>0.0</v>
      </c>
      <c r="I55" s="20">
        <v>36.24</v>
      </c>
      <c r="J55" s="20">
        <v>902.83</v>
      </c>
      <c r="K55" s="20">
        <v>86.74</v>
      </c>
      <c r="L55" s="20">
        <v>93.6</v>
      </c>
      <c r="M55" s="20">
        <v>121.81</v>
      </c>
      <c r="N55" s="20">
        <v>87.19</v>
      </c>
      <c r="O55" s="20">
        <v>1328.41</v>
      </c>
      <c r="P55" s="20">
        <v>389.34</v>
      </c>
      <c r="R55" s="19">
        <v>5.0</v>
      </c>
      <c r="V55" s="19">
        <v>100017.0</v>
      </c>
      <c r="W55" s="19">
        <v>100128578.0</v>
      </c>
      <c r="X55" s="18" t="s">
        <v>133</v>
      </c>
      <c r="Y55" s="18" t="s">
        <v>133</v>
      </c>
      <c r="Z55" s="18" t="s">
        <v>134</v>
      </c>
      <c r="AA55" s="18" t="s">
        <v>147</v>
      </c>
      <c r="AB55" s="19">
        <v>5240.0</v>
      </c>
      <c r="AC55" s="19">
        <v>1.0</v>
      </c>
      <c r="AD55" s="19">
        <v>6413.0</v>
      </c>
      <c r="AE55" s="19">
        <v>7.0</v>
      </c>
      <c r="AF55" s="18" t="s">
        <v>135</v>
      </c>
      <c r="AG55" s="19">
        <v>5.0</v>
      </c>
      <c r="AH55" s="19">
        <v>-1.0</v>
      </c>
      <c r="AI55" s="19">
        <v>2227.0</v>
      </c>
      <c r="AJ55" s="19">
        <v>6.0</v>
      </c>
      <c r="AK55" s="19">
        <v>0.0</v>
      </c>
      <c r="AL55" s="19">
        <v>0.0</v>
      </c>
      <c r="AM55" s="19">
        <v>0.0</v>
      </c>
      <c r="AN55" s="19">
        <v>0.0</v>
      </c>
      <c r="AO55" s="19">
        <v>36.24</v>
      </c>
      <c r="AP55" s="19">
        <v>1.0</v>
      </c>
      <c r="AQ55" s="19">
        <v>93.6</v>
      </c>
      <c r="AR55" s="19">
        <v>1.0</v>
      </c>
      <c r="AS55" s="19">
        <v>0.0</v>
      </c>
      <c r="AT55" s="19">
        <f>IF(5 = R55, C55 * -1, C55)</f>
        <v>-0</v>
      </c>
      <c r="AU55" s="19">
        <f>IF(5 = R55, D55 * -1, D55)</f>
        <v>-0</v>
      </c>
      <c r="AV55" s="19">
        <f>IF(5 = R55, E55 * -1, E55)</f>
        <v>-0</v>
      </c>
      <c r="AW55" s="19">
        <f>IF(5 = R55, F55 * -1, F55)</f>
        <v>-0</v>
      </c>
      <c r="AX55" s="19">
        <f>IF(5 = R55, G55 * -1, G55)</f>
        <v>-0</v>
      </c>
      <c r="AY55" s="19">
        <f>IF(5 = R55, H55 * -1, H55)</f>
        <v>-0</v>
      </c>
      <c r="AZ55" s="19">
        <f>IF(5 = R55, I55 * -1, I55)</f>
        <v>-36.24</v>
      </c>
      <c r="BA55" s="19">
        <f>IF(5 = R55, J55 * -1, J55)</f>
        <v>-902.83</v>
      </c>
      <c r="BB55" s="19">
        <v>-86.74</v>
      </c>
      <c r="BC55" s="19">
        <f>IF(5 = R55, K55 * -1, K55)</f>
        <v>-86.74</v>
      </c>
      <c r="BD55" s="19">
        <v>-93.6</v>
      </c>
      <c r="BE55" s="19">
        <f>IF(5 = R55, L55 * -1, L55)</f>
        <v>-93.6</v>
      </c>
      <c r="BF55" s="19">
        <f>IF(5 = R55, M55 * -1, M55)</f>
        <v>-121.81</v>
      </c>
      <c r="BG55" s="19">
        <f>IF(5 = R55, N55 * -1, N55)</f>
        <v>-87.19</v>
      </c>
      <c r="BH55" s="19">
        <f>IF(5 = R55, O55 * -1, O55)</f>
        <v>-1328.41</v>
      </c>
      <c r="BI55" s="19">
        <f>IF(5 = R55, P55 * -1, P55)</f>
        <v>-389.34</v>
      </c>
    </row>
    <row r="56" spans="1:90">
      <c r="A56" s="9" t="s">
        <v>148</v>
      </c>
      <c r="B56" s="18" t="s">
        <v>149</v>
      </c>
      <c r="C56" s="20">
        <v>0.0</v>
      </c>
      <c r="D56" s="20">
        <v>0.0</v>
      </c>
      <c r="E56" s="20">
        <v>0.0</v>
      </c>
      <c r="F56" s="20">
        <v>0.0</v>
      </c>
      <c r="G56" s="20">
        <v>0.0</v>
      </c>
      <c r="H56" s="20">
        <v>0.0</v>
      </c>
      <c r="I56" s="20">
        <v>0.0</v>
      </c>
      <c r="J56" s="20">
        <v>52.5</v>
      </c>
      <c r="K56" s="20">
        <v>52.5</v>
      </c>
      <c r="L56" s="20">
        <v>52.5</v>
      </c>
      <c r="M56" s="20">
        <v>57.75</v>
      </c>
      <c r="N56" s="20">
        <v>57.75</v>
      </c>
      <c r="O56" s="20">
        <v>273.0</v>
      </c>
      <c r="P56" s="20">
        <v>220.5</v>
      </c>
      <c r="R56" s="19">
        <v>5.0</v>
      </c>
      <c r="V56" s="19">
        <v>100017.0</v>
      </c>
      <c r="W56" s="19">
        <v>100128578.0</v>
      </c>
      <c r="X56" s="18" t="s">
        <v>133</v>
      </c>
      <c r="Y56" s="18" t="s">
        <v>133</v>
      </c>
      <c r="Z56" s="18" t="s">
        <v>134</v>
      </c>
      <c r="AA56" s="18" t="s">
        <v>149</v>
      </c>
      <c r="AB56" s="19">
        <v>6460.0</v>
      </c>
      <c r="AC56" s="19">
        <v>1.0</v>
      </c>
      <c r="AD56" s="19">
        <v>6487.0</v>
      </c>
      <c r="AE56" s="19">
        <v>9.0</v>
      </c>
      <c r="AF56" s="18" t="s">
        <v>135</v>
      </c>
      <c r="AG56" s="19">
        <v>5.0</v>
      </c>
      <c r="AH56" s="19">
        <v>-1.0</v>
      </c>
      <c r="AI56" s="19">
        <v>2227.0</v>
      </c>
      <c r="AJ56" s="19">
        <v>5.0</v>
      </c>
      <c r="AK56" s="19">
        <v>0.0</v>
      </c>
      <c r="AL56" s="19">
        <v>0.0</v>
      </c>
      <c r="AM56" s="19">
        <v>0.0</v>
      </c>
      <c r="AN56" s="19">
        <v>0.0</v>
      </c>
      <c r="AO56" s="19">
        <v>0.0</v>
      </c>
      <c r="AP56" s="19">
        <v>0.0</v>
      </c>
      <c r="AQ56" s="19">
        <v>52.5</v>
      </c>
      <c r="AR56" s="19">
        <v>1.0</v>
      </c>
      <c r="AS56" s="19">
        <v>0.0</v>
      </c>
      <c r="AT56" s="19">
        <f>IF(5 = R56, C56 * -1, C56)</f>
        <v>-0</v>
      </c>
      <c r="AU56" s="19">
        <f>IF(5 = R56, D56 * -1, D56)</f>
        <v>-0</v>
      </c>
      <c r="AV56" s="19">
        <f>IF(5 = R56, E56 * -1, E56)</f>
        <v>-0</v>
      </c>
      <c r="AW56" s="19">
        <f>IF(5 = R56, F56 * -1, F56)</f>
        <v>-0</v>
      </c>
      <c r="AX56" s="19">
        <f>IF(5 = R56, G56 * -1, G56)</f>
        <v>-0</v>
      </c>
      <c r="AY56" s="19">
        <f>IF(5 = R56, H56 * -1, H56)</f>
        <v>-0</v>
      </c>
      <c r="AZ56" s="19">
        <f>IF(5 = R56, I56 * -1, I56)</f>
        <v>-0</v>
      </c>
      <c r="BA56" s="19">
        <f>IF(5 = R56, J56 * -1, J56)</f>
        <v>-52.5</v>
      </c>
      <c r="BB56" s="19">
        <v>-52.5</v>
      </c>
      <c r="BC56" s="19">
        <f>IF(5 = R56, K56 * -1, K56)</f>
        <v>-52.5</v>
      </c>
      <c r="BD56" s="19">
        <v>-52.5</v>
      </c>
      <c r="BE56" s="19">
        <f>IF(5 = R56, L56 * -1, L56)</f>
        <v>-52.5</v>
      </c>
      <c r="BF56" s="19">
        <f>IF(5 = R56, M56 * -1, M56)</f>
        <v>-57.75</v>
      </c>
      <c r="BG56" s="19">
        <f>IF(5 = R56, N56 * -1, N56)</f>
        <v>-57.75</v>
      </c>
      <c r="BH56" s="19">
        <f>IF(5 = R56, O56 * -1, O56)</f>
        <v>-273</v>
      </c>
      <c r="BI56" s="19">
        <f>IF(5 = R56, P56 * -1, P56)</f>
        <v>-220.5</v>
      </c>
    </row>
    <row r="57" spans="1:90">
      <c r="A57" s="9" t="s">
        <v>150</v>
      </c>
      <c r="B57" s="18" t="s">
        <v>151</v>
      </c>
      <c r="C57" s="20">
        <v>0.0</v>
      </c>
      <c r="D57" s="20">
        <v>0.0</v>
      </c>
      <c r="E57" s="20">
        <v>0.0</v>
      </c>
      <c r="F57" s="20">
        <v>0.0</v>
      </c>
      <c r="G57" s="20">
        <v>0.0</v>
      </c>
      <c r="H57" s="20">
        <v>0.0</v>
      </c>
      <c r="I57" s="20">
        <v>0.0</v>
      </c>
      <c r="J57" s="20">
        <v>2130.67</v>
      </c>
      <c r="K57" s="20">
        <v>50.0</v>
      </c>
      <c r="L57" s="20">
        <v>50.0</v>
      </c>
      <c r="M57" s="20">
        <v>50.0</v>
      </c>
      <c r="N57" s="20">
        <v>50.0</v>
      </c>
      <c r="O57" s="20">
        <v>2330.67</v>
      </c>
      <c r="P57" s="20">
        <v>200.0</v>
      </c>
      <c r="R57" s="19">
        <v>5.0</v>
      </c>
      <c r="V57" s="19">
        <v>100017.0</v>
      </c>
      <c r="W57" s="19">
        <v>100128578.0</v>
      </c>
      <c r="X57" s="18" t="s">
        <v>133</v>
      </c>
      <c r="Y57" s="18" t="s">
        <v>133</v>
      </c>
      <c r="Z57" s="18" t="s">
        <v>134</v>
      </c>
      <c r="AA57" s="18" t="s">
        <v>151</v>
      </c>
      <c r="AB57" s="19">
        <v>6610.0</v>
      </c>
      <c r="AC57" s="19">
        <v>1.0</v>
      </c>
      <c r="AD57" s="19">
        <v>6501.0</v>
      </c>
      <c r="AE57" s="19">
        <v>10.0</v>
      </c>
      <c r="AF57" s="18" t="s">
        <v>135</v>
      </c>
      <c r="AG57" s="19">
        <v>5.0</v>
      </c>
      <c r="AH57" s="19">
        <v>-1.0</v>
      </c>
      <c r="AI57" s="19">
        <v>2227.0</v>
      </c>
      <c r="AJ57" s="19">
        <v>6.0</v>
      </c>
      <c r="AK57" s="19">
        <v>0.0</v>
      </c>
      <c r="AL57" s="19">
        <v>0.0</v>
      </c>
      <c r="AM57" s="19">
        <v>0.0</v>
      </c>
      <c r="AN57" s="19">
        <v>0.0</v>
      </c>
      <c r="AO57" s="19">
        <v>0.0</v>
      </c>
      <c r="AP57" s="19">
        <v>0.0</v>
      </c>
      <c r="AQ57" s="19">
        <v>50.0</v>
      </c>
      <c r="AR57" s="19">
        <v>1.0</v>
      </c>
      <c r="AS57" s="19">
        <v>0.0</v>
      </c>
      <c r="AT57" s="19">
        <f>IF(5 = R57, C57 * -1, C57)</f>
        <v>-0</v>
      </c>
      <c r="AU57" s="19">
        <f>IF(5 = R57, D57 * -1, D57)</f>
        <v>-0</v>
      </c>
      <c r="AV57" s="19">
        <f>IF(5 = R57, E57 * -1, E57)</f>
        <v>-0</v>
      </c>
      <c r="AW57" s="19">
        <f>IF(5 = R57, F57 * -1, F57)</f>
        <v>-0</v>
      </c>
      <c r="AX57" s="19">
        <f>IF(5 = R57, G57 * -1, G57)</f>
        <v>-0</v>
      </c>
      <c r="AY57" s="19">
        <f>IF(5 = R57, H57 * -1, H57)</f>
        <v>-0</v>
      </c>
      <c r="AZ57" s="19">
        <f>IF(5 = R57, I57 * -1, I57)</f>
        <v>-0</v>
      </c>
      <c r="BA57" s="19">
        <f>IF(5 = R57, J57 * -1, J57)</f>
        <v>-2130.67</v>
      </c>
      <c r="BB57" s="19">
        <v>-50.0</v>
      </c>
      <c r="BC57" s="19">
        <f>IF(5 = R57, K57 * -1, K57)</f>
        <v>-50</v>
      </c>
      <c r="BD57" s="19">
        <v>-50.0</v>
      </c>
      <c r="BE57" s="19">
        <f>IF(5 = R57, L57 * -1, L57)</f>
        <v>-50</v>
      </c>
      <c r="BF57" s="19">
        <f>IF(5 = R57, M57 * -1, M57)</f>
        <v>-50</v>
      </c>
      <c r="BG57" s="19">
        <f>IF(5 = R57, N57 * -1, N57)</f>
        <v>-50</v>
      </c>
      <c r="BH57" s="19">
        <f>IF(5 = R57, O57 * -1, O57)</f>
        <v>-2330.67</v>
      </c>
      <c r="BI57" s="19">
        <f>IF(5 = R57, P57 * -1, P57)</f>
        <v>-200</v>
      </c>
    </row>
    <row r="58" spans="1:90">
      <c r="B58" s="7" t="s">
        <v>130</v>
      </c>
      <c r="C58" s="12">
        <f>IF(5 = R58, AT58 * -1, AT58)</f>
        <v>-0</v>
      </c>
      <c r="D58" s="12">
        <f>IF(5 = R58, AU58 * -1, AU58)</f>
        <v>-0</v>
      </c>
      <c r="E58" s="12">
        <f>IF(5 = R58, AV58 * -1, AV58)</f>
        <v>-0</v>
      </c>
      <c r="F58" s="12">
        <f>IF(5 = R58, AW58 * -1, AW58)</f>
        <v>-0</v>
      </c>
      <c r="G58" s="12">
        <f>IF(5 = R58, AX58 * -1, AX58)</f>
        <v>-0</v>
      </c>
      <c r="H58" s="12">
        <f>IF(5 = R58, AY58 * -1, AY58)</f>
        <v>-0</v>
      </c>
      <c r="I58" s="12">
        <f>IF(5 = R58, AZ58 * -1, AZ58)</f>
        <v>2343.02</v>
      </c>
      <c r="J58" s="12">
        <f>IF(5 = R58, BA58 * -1, BA58)</f>
        <v>277787.55</v>
      </c>
      <c r="K58" s="12">
        <f>IF(5 = R58, BC58 * -1, BC58)</f>
        <v>5237.68</v>
      </c>
      <c r="L58" s="12">
        <f>IF(5 = R58, BE58 * -1, BE58)</f>
        <v>7549.76</v>
      </c>
      <c r="M58" s="12">
        <f>IF(5 = R58, BF58 * -1, BF58)</f>
        <v>8817.46</v>
      </c>
      <c r="N58" s="12">
        <f>IF(5 = R58, BG58 * -1, BG58)</f>
        <v>5720.7</v>
      </c>
      <c r="O58" s="12">
        <f>IF(5 = R58, BH58 * -1, BH58)</f>
        <v>307456.17</v>
      </c>
      <c r="P58" s="12">
        <f>IF(5 = R58, BI58 * -1, BI58)</f>
        <v>27325.6</v>
      </c>
      <c r="R58" s="11">
        <v>5</v>
      </c>
      <c r="S58" s="13">
        <f>S57</f>
        <v>0</v>
      </c>
      <c r="T58" s="13">
        <f>T57</f>
        <v>0</v>
      </c>
      <c r="U58" s="11">
        <f>U57</f>
        <v>0</v>
      </c>
      <c r="V58" s="19"/>
      <c r="W58" s="19"/>
      <c r="X58" s="18"/>
      <c r="Y58" s="18"/>
      <c r="Z58" s="18"/>
      <c r="AA58" s="18"/>
      <c r="AB58" s="19"/>
      <c r="AC58" s="19"/>
      <c r="AD58" s="19"/>
      <c r="AE58" s="19"/>
      <c r="AF58" s="18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1">
        <f>SUM(AT49:AT57)</f>
        <v>0</v>
      </c>
      <c r="AU58" s="11">
        <f>SUM(AU49:AU57)</f>
        <v>0</v>
      </c>
      <c r="AV58" s="11">
        <f>SUM(AV49:AV57)</f>
        <v>0</v>
      </c>
      <c r="AW58" s="11">
        <f>SUM(AW49:AW57)</f>
        <v>0</v>
      </c>
      <c r="AX58" s="11">
        <f>SUM(AX49:AX57)</f>
        <v>0</v>
      </c>
      <c r="AY58" s="11">
        <f>SUM(AY49:AY57)</f>
        <v>0</v>
      </c>
      <c r="AZ58" s="11">
        <f>SUM(AZ49:AZ57)</f>
        <v>-2343.02</v>
      </c>
      <c r="BA58" s="11">
        <f>SUM(BA49:BA57)</f>
        <v>-277787.55</v>
      </c>
      <c r="BB58" s="19"/>
      <c r="BC58" s="11">
        <f>SUM(BC49:BC57)</f>
        <v>-5237.68</v>
      </c>
      <c r="BD58" s="19"/>
      <c r="BE58" s="11">
        <f>SUM(BE49:BE57)</f>
        <v>-7549.76</v>
      </c>
      <c r="BF58" s="11">
        <f>SUM(BF49:BF57)</f>
        <v>-8817.46</v>
      </c>
      <c r="BG58" s="11">
        <f>SUM(BG49:BG57)</f>
        <v>-5720.7</v>
      </c>
      <c r="BH58" s="11">
        <f>SUM(BH49:BH57)</f>
        <v>-307456.17</v>
      </c>
      <c r="BI58" s="11">
        <f>SUM(BI49:BI57)</f>
        <v>-27325.6</v>
      </c>
    </row>
    <row r="59" spans="1:90">
      <c r="B59" s="18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R59" s="19"/>
      <c r="V59" s="19"/>
      <c r="W59" s="19"/>
      <c r="X59" s="18"/>
      <c r="Y59" s="18"/>
      <c r="Z59" s="18"/>
      <c r="AA59" s="18"/>
      <c r="AB59" s="19"/>
      <c r="AC59" s="19"/>
      <c r="AD59" s="19"/>
      <c r="AE59" s="19"/>
      <c r="AF59" s="18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</row>
    <row r="60" spans="1:90">
      <c r="A60" s="8" t="s">
        <v>152</v>
      </c>
      <c r="B60" s="18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R60" s="19"/>
      <c r="V60" s="19"/>
      <c r="W60" s="19"/>
      <c r="X60" s="18"/>
      <c r="Y60" s="18"/>
      <c r="Z60" s="18"/>
      <c r="AA60" s="18"/>
      <c r="AB60" s="19"/>
      <c r="AC60" s="19"/>
      <c r="AD60" s="19"/>
      <c r="AE60" s="19"/>
      <c r="AF60" s="18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</row>
    <row r="61" spans="1:90">
      <c r="A61" s="9" t="s">
        <v>153</v>
      </c>
      <c r="B61" s="18" t="s">
        <v>154</v>
      </c>
      <c r="C61" s="20">
        <v>0.0</v>
      </c>
      <c r="D61" s="20">
        <v>0.0</v>
      </c>
      <c r="E61" s="20">
        <v>0.0</v>
      </c>
      <c r="F61" s="20">
        <v>0.0</v>
      </c>
      <c r="G61" s="20">
        <v>0.0</v>
      </c>
      <c r="H61" s="20">
        <v>0.0</v>
      </c>
      <c r="I61" s="20">
        <v>0.0</v>
      </c>
      <c r="J61" s="20">
        <v>0.0</v>
      </c>
      <c r="K61" s="20">
        <v>1430.0</v>
      </c>
      <c r="L61" s="20">
        <v>1040.0</v>
      </c>
      <c r="M61" s="20">
        <v>1040.0</v>
      </c>
      <c r="N61" s="20">
        <v>1040.0</v>
      </c>
      <c r="O61" s="20">
        <v>4550.0</v>
      </c>
      <c r="P61" s="20">
        <v>4550.0</v>
      </c>
      <c r="R61" s="19">
        <v>5.0</v>
      </c>
      <c r="V61" s="19">
        <v>100017.0</v>
      </c>
      <c r="W61" s="19">
        <v>100128578.0</v>
      </c>
      <c r="X61" s="18" t="s">
        <v>155</v>
      </c>
      <c r="Y61" s="18" t="s">
        <v>155</v>
      </c>
      <c r="Z61" s="18" t="s">
        <v>156</v>
      </c>
      <c r="AA61" s="18" t="s">
        <v>154</v>
      </c>
      <c r="AB61" s="19">
        <v>5410.0</v>
      </c>
      <c r="AC61" s="19">
        <v>1.0</v>
      </c>
      <c r="AD61" s="19">
        <v>6415.0</v>
      </c>
      <c r="AE61" s="19">
        <v>0.0</v>
      </c>
      <c r="AF61" s="18" t="s">
        <v>135</v>
      </c>
      <c r="AG61" s="19">
        <v>5.0</v>
      </c>
      <c r="AH61" s="19">
        <v>-1.0</v>
      </c>
      <c r="AI61" s="19">
        <v>2234.0</v>
      </c>
      <c r="AJ61" s="19">
        <v>4.0</v>
      </c>
      <c r="AK61" s="19">
        <v>0.0</v>
      </c>
      <c r="AL61" s="19">
        <v>0.0</v>
      </c>
      <c r="AM61" s="19">
        <v>0.0</v>
      </c>
      <c r="AN61" s="19">
        <v>0.0</v>
      </c>
      <c r="AO61" s="19">
        <v>0.0</v>
      </c>
      <c r="AP61" s="19">
        <v>0.0</v>
      </c>
      <c r="AQ61" s="19">
        <v>1040.0</v>
      </c>
      <c r="AR61" s="19">
        <v>1.0</v>
      </c>
      <c r="AS61" s="19">
        <v>0.0</v>
      </c>
      <c r="AT61" s="19">
        <f>IF(5 = R61, C61 * -1, C61)</f>
        <v>-0</v>
      </c>
      <c r="AU61" s="19">
        <f>IF(5 = R61, D61 * -1, D61)</f>
        <v>-0</v>
      </c>
      <c r="AV61" s="19">
        <f>IF(5 = R61, E61 * -1, E61)</f>
        <v>-0</v>
      </c>
      <c r="AW61" s="19">
        <f>IF(5 = R61, F61 * -1, F61)</f>
        <v>-0</v>
      </c>
      <c r="AX61" s="19">
        <f>IF(5 = R61, G61 * -1, G61)</f>
        <v>-0</v>
      </c>
      <c r="AY61" s="19">
        <f>IF(5 = R61, H61 * -1, H61)</f>
        <v>-0</v>
      </c>
      <c r="AZ61" s="19">
        <f>IF(5 = R61, I61 * -1, I61)</f>
        <v>-0</v>
      </c>
      <c r="BA61" s="19">
        <f>IF(5 = R61, J61 * -1, J61)</f>
        <v>-0</v>
      </c>
      <c r="BB61" s="19">
        <v>-1430.0</v>
      </c>
      <c r="BC61" s="19">
        <f>IF(5 = R61, K61 * -1, K61)</f>
        <v>-1430</v>
      </c>
      <c r="BD61" s="19">
        <v>-1040.0</v>
      </c>
      <c r="BE61" s="19">
        <f>IF(5 = R61, L61 * -1, L61)</f>
        <v>-1040</v>
      </c>
      <c r="BF61" s="19">
        <f>IF(5 = R61, M61 * -1, M61)</f>
        <v>-1040</v>
      </c>
      <c r="BG61" s="19">
        <f>IF(5 = R61, N61 * -1, N61)</f>
        <v>-1040</v>
      </c>
      <c r="BH61" s="19">
        <f>IF(5 = R61, O61 * -1, O61)</f>
        <v>-4550</v>
      </c>
      <c r="BI61" s="19">
        <f>IF(5 = R61, P61 * -1, P61)</f>
        <v>-4550</v>
      </c>
    </row>
    <row r="62" spans="1:90">
      <c r="A62" s="9" t="s">
        <v>157</v>
      </c>
      <c r="B62" s="18" t="s">
        <v>158</v>
      </c>
      <c r="C62" s="20">
        <v>0.0</v>
      </c>
      <c r="D62" s="20">
        <v>0.0</v>
      </c>
      <c r="E62" s="20">
        <v>0.0</v>
      </c>
      <c r="F62" s="20">
        <v>0.0</v>
      </c>
      <c r="G62" s="20">
        <v>0.0</v>
      </c>
      <c r="H62" s="20">
        <v>0.0</v>
      </c>
      <c r="I62" s="20">
        <v>0.0</v>
      </c>
      <c r="J62" s="20">
        <v>230.93</v>
      </c>
      <c r="K62" s="20">
        <v>45.99</v>
      </c>
      <c r="L62" s="20">
        <v>81.66</v>
      </c>
      <c r="M62" s="20">
        <v>425.03</v>
      </c>
      <c r="N62" s="20">
        <v>31.95</v>
      </c>
      <c r="O62" s="20">
        <v>815.56</v>
      </c>
      <c r="P62" s="20">
        <v>584.63</v>
      </c>
      <c r="R62" s="19">
        <v>5.0</v>
      </c>
      <c r="V62" s="19">
        <v>100017.0</v>
      </c>
      <c r="W62" s="19">
        <v>100128578.0</v>
      </c>
      <c r="X62" s="18" t="s">
        <v>155</v>
      </c>
      <c r="Y62" s="18" t="s">
        <v>155</v>
      </c>
      <c r="Z62" s="18" t="s">
        <v>156</v>
      </c>
      <c r="AA62" s="18" t="s">
        <v>158</v>
      </c>
      <c r="AB62" s="19">
        <v>5420.0</v>
      </c>
      <c r="AC62" s="19">
        <v>1.0</v>
      </c>
      <c r="AD62" s="19">
        <v>6416.0</v>
      </c>
      <c r="AE62" s="19">
        <v>1.0</v>
      </c>
      <c r="AF62" s="18" t="s">
        <v>135</v>
      </c>
      <c r="AG62" s="19">
        <v>5.0</v>
      </c>
      <c r="AH62" s="19">
        <v>-1.0</v>
      </c>
      <c r="AI62" s="19">
        <v>2234.0</v>
      </c>
      <c r="AJ62" s="19">
        <v>6.0</v>
      </c>
      <c r="AK62" s="19">
        <v>0.0</v>
      </c>
      <c r="AL62" s="19">
        <v>0.0</v>
      </c>
      <c r="AM62" s="19">
        <v>0.0</v>
      </c>
      <c r="AN62" s="19">
        <v>0.0</v>
      </c>
      <c r="AO62" s="19">
        <v>0.0</v>
      </c>
      <c r="AP62" s="19">
        <v>0.0</v>
      </c>
      <c r="AQ62" s="19">
        <v>81.66</v>
      </c>
      <c r="AR62" s="19">
        <v>1.0</v>
      </c>
      <c r="AS62" s="19">
        <v>0.0</v>
      </c>
      <c r="AT62" s="19">
        <f>IF(5 = R62, C62 * -1, C62)</f>
        <v>-0</v>
      </c>
      <c r="AU62" s="19">
        <f>IF(5 = R62, D62 * -1, D62)</f>
        <v>-0</v>
      </c>
      <c r="AV62" s="19">
        <f>IF(5 = R62, E62 * -1, E62)</f>
        <v>-0</v>
      </c>
      <c r="AW62" s="19">
        <f>IF(5 = R62, F62 * -1, F62)</f>
        <v>-0</v>
      </c>
      <c r="AX62" s="19">
        <f>IF(5 = R62, G62 * -1, G62)</f>
        <v>-0</v>
      </c>
      <c r="AY62" s="19">
        <f>IF(5 = R62, H62 * -1, H62)</f>
        <v>-0</v>
      </c>
      <c r="AZ62" s="19">
        <f>IF(5 = R62, I62 * -1, I62)</f>
        <v>-0</v>
      </c>
      <c r="BA62" s="19">
        <f>IF(5 = R62, J62 * -1, J62)</f>
        <v>-230.93</v>
      </c>
      <c r="BB62" s="19">
        <v>-45.99</v>
      </c>
      <c r="BC62" s="19">
        <f>IF(5 = R62, K62 * -1, K62)</f>
        <v>-45.99</v>
      </c>
      <c r="BD62" s="19">
        <v>-81.66</v>
      </c>
      <c r="BE62" s="19">
        <f>IF(5 = R62, L62 * -1, L62)</f>
        <v>-81.66</v>
      </c>
      <c r="BF62" s="19">
        <f>IF(5 = R62, M62 * -1, M62)</f>
        <v>-425.03</v>
      </c>
      <c r="BG62" s="19">
        <f>IF(5 = R62, N62 * -1, N62)</f>
        <v>-31.95</v>
      </c>
      <c r="BH62" s="19">
        <f>IF(5 = R62, O62 * -1, O62)</f>
        <v>-815.56</v>
      </c>
      <c r="BI62" s="19">
        <f>IF(5 = R62, P62 * -1, P62)</f>
        <v>-584.63</v>
      </c>
    </row>
    <row r="63" spans="1:90">
      <c r="A63" s="9" t="s">
        <v>159</v>
      </c>
      <c r="B63" s="18" t="s">
        <v>160</v>
      </c>
      <c r="C63" s="20">
        <v>0.0</v>
      </c>
      <c r="D63" s="20">
        <v>0.0</v>
      </c>
      <c r="E63" s="20">
        <v>0.0</v>
      </c>
      <c r="F63" s="20">
        <v>0.0</v>
      </c>
      <c r="G63" s="20">
        <v>0.0</v>
      </c>
      <c r="H63" s="20">
        <v>0.0</v>
      </c>
      <c r="I63" s="20">
        <v>0.0</v>
      </c>
      <c r="J63" s="20">
        <v>2250.0</v>
      </c>
      <c r="K63" s="20">
        <v>0.0</v>
      </c>
      <c r="L63" s="20">
        <v>0.0</v>
      </c>
      <c r="M63" s="20">
        <v>0.0</v>
      </c>
      <c r="N63" s="20">
        <v>0.0</v>
      </c>
      <c r="O63" s="20">
        <v>2250.0</v>
      </c>
      <c r="P63" s="20">
        <v>0.0</v>
      </c>
      <c r="R63" s="19">
        <v>5.0</v>
      </c>
      <c r="V63" s="19">
        <v>100017.0</v>
      </c>
      <c r="W63" s="19">
        <v>100128578.0</v>
      </c>
      <c r="X63" s="18" t="s">
        <v>155</v>
      </c>
      <c r="Y63" s="18" t="s">
        <v>155</v>
      </c>
      <c r="Z63" s="18" t="s">
        <v>156</v>
      </c>
      <c r="AA63" s="18" t="s">
        <v>160</v>
      </c>
      <c r="AB63" s="19">
        <v>5450.0</v>
      </c>
      <c r="AC63" s="19">
        <v>1.0</v>
      </c>
      <c r="AD63" s="19">
        <v>6419.0</v>
      </c>
      <c r="AE63" s="19">
        <v>4.0</v>
      </c>
      <c r="AF63" s="18" t="s">
        <v>135</v>
      </c>
      <c r="AG63" s="19">
        <v>5.0</v>
      </c>
      <c r="AH63" s="19">
        <v>-1.0</v>
      </c>
      <c r="AI63" s="19">
        <v>2234.0</v>
      </c>
      <c r="AJ63" s="19">
        <v>1.0</v>
      </c>
      <c r="AK63" s="19">
        <v>0.0</v>
      </c>
      <c r="AL63" s="19">
        <v>0.0</v>
      </c>
      <c r="AM63" s="19">
        <v>0.0</v>
      </c>
      <c r="AN63" s="19">
        <v>0.0</v>
      </c>
      <c r="AO63" s="19">
        <v>0.0</v>
      </c>
      <c r="AP63" s="19">
        <v>0.0</v>
      </c>
      <c r="AQ63" s="19">
        <v>0.0</v>
      </c>
      <c r="AR63" s="19">
        <v>0.0</v>
      </c>
      <c r="AS63" s="19">
        <v>0.0</v>
      </c>
      <c r="AT63" s="19">
        <f>IF(5 = R63, C63 * -1, C63)</f>
        <v>-0</v>
      </c>
      <c r="AU63" s="19">
        <f>IF(5 = R63, D63 * -1, D63)</f>
        <v>-0</v>
      </c>
      <c r="AV63" s="19">
        <f>IF(5 = R63, E63 * -1, E63)</f>
        <v>-0</v>
      </c>
      <c r="AW63" s="19">
        <f>IF(5 = R63, F63 * -1, F63)</f>
        <v>-0</v>
      </c>
      <c r="AX63" s="19">
        <f>IF(5 = R63, G63 * -1, G63)</f>
        <v>-0</v>
      </c>
      <c r="AY63" s="19">
        <f>IF(5 = R63, H63 * -1, H63)</f>
        <v>-0</v>
      </c>
      <c r="AZ63" s="19">
        <f>IF(5 = R63, I63 * -1, I63)</f>
        <v>-0</v>
      </c>
      <c r="BA63" s="19">
        <f>IF(5 = R63, J63 * -1, J63)</f>
        <v>-2250</v>
      </c>
      <c r="BB63" s="19">
        <v>0.0</v>
      </c>
      <c r="BC63" s="19">
        <f>IF(5 = R63, K63 * -1, K63)</f>
        <v>-0</v>
      </c>
      <c r="BD63" s="19">
        <v>0.0</v>
      </c>
      <c r="BE63" s="19">
        <f>IF(5 = R63, L63 * -1, L63)</f>
        <v>-0</v>
      </c>
      <c r="BF63" s="19">
        <f>IF(5 = R63, M63 * -1, M63)</f>
        <v>-0</v>
      </c>
      <c r="BG63" s="19">
        <f>IF(5 = R63, N63 * -1, N63)</f>
        <v>-0</v>
      </c>
      <c r="BH63" s="19">
        <f>IF(5 = R63, O63 * -1, O63)</f>
        <v>-2250</v>
      </c>
      <c r="BI63" s="19">
        <f>IF(5 = R63, P63 * -1, P63)</f>
        <v>-0</v>
      </c>
    </row>
    <row r="64" spans="1:90">
      <c r="A64" s="9" t="s">
        <v>161</v>
      </c>
      <c r="B64" s="18" t="s">
        <v>162</v>
      </c>
      <c r="C64" s="20">
        <v>0.0</v>
      </c>
      <c r="D64" s="20">
        <v>0.0</v>
      </c>
      <c r="E64" s="20">
        <v>0.0</v>
      </c>
      <c r="F64" s="20">
        <v>0.0</v>
      </c>
      <c r="G64" s="20">
        <v>0.0</v>
      </c>
      <c r="H64" s="20">
        <v>0.0</v>
      </c>
      <c r="I64" s="20">
        <v>0.0</v>
      </c>
      <c r="J64" s="20">
        <v>2202.39</v>
      </c>
      <c r="K64" s="20">
        <v>0.0</v>
      </c>
      <c r="L64" s="20">
        <v>0.0</v>
      </c>
      <c r="M64" s="20">
        <v>0.0</v>
      </c>
      <c r="N64" s="20">
        <v>0.0</v>
      </c>
      <c r="O64" s="20">
        <v>2202.39</v>
      </c>
      <c r="P64" s="20">
        <v>0.0</v>
      </c>
      <c r="R64" s="19">
        <v>5.0</v>
      </c>
      <c r="V64" s="19">
        <v>100017.0</v>
      </c>
      <c r="W64" s="19">
        <v>100128578.0</v>
      </c>
      <c r="X64" s="18" t="s">
        <v>155</v>
      </c>
      <c r="Y64" s="18" t="s">
        <v>155</v>
      </c>
      <c r="Z64" s="18" t="s">
        <v>156</v>
      </c>
      <c r="AA64" s="18" t="s">
        <v>162</v>
      </c>
      <c r="AB64" s="19">
        <v>5460.0</v>
      </c>
      <c r="AC64" s="19">
        <v>1.0</v>
      </c>
      <c r="AD64" s="19">
        <v>6420.0</v>
      </c>
      <c r="AE64" s="19">
        <v>5.0</v>
      </c>
      <c r="AF64" s="18" t="s">
        <v>135</v>
      </c>
      <c r="AG64" s="19">
        <v>5.0</v>
      </c>
      <c r="AH64" s="19">
        <v>-1.0</v>
      </c>
      <c r="AI64" s="19">
        <v>2234.0</v>
      </c>
      <c r="AJ64" s="19">
        <v>1.0</v>
      </c>
      <c r="AK64" s="19">
        <v>0.0</v>
      </c>
      <c r="AL64" s="19">
        <v>0.0</v>
      </c>
      <c r="AM64" s="19">
        <v>0.0</v>
      </c>
      <c r="AN64" s="19">
        <v>0.0</v>
      </c>
      <c r="AO64" s="19">
        <v>0.0</v>
      </c>
      <c r="AP64" s="19">
        <v>0.0</v>
      </c>
      <c r="AQ64" s="19">
        <v>0.0</v>
      </c>
      <c r="AR64" s="19">
        <v>0.0</v>
      </c>
      <c r="AS64" s="19">
        <v>0.0</v>
      </c>
      <c r="AT64" s="19">
        <f>IF(5 = R64, C64 * -1, C64)</f>
        <v>-0</v>
      </c>
      <c r="AU64" s="19">
        <f>IF(5 = R64, D64 * -1, D64)</f>
        <v>-0</v>
      </c>
      <c r="AV64" s="19">
        <f>IF(5 = R64, E64 * -1, E64)</f>
        <v>-0</v>
      </c>
      <c r="AW64" s="19">
        <f>IF(5 = R64, F64 * -1, F64)</f>
        <v>-0</v>
      </c>
      <c r="AX64" s="19">
        <f>IF(5 = R64, G64 * -1, G64)</f>
        <v>-0</v>
      </c>
      <c r="AY64" s="19">
        <f>IF(5 = R64, H64 * -1, H64)</f>
        <v>-0</v>
      </c>
      <c r="AZ64" s="19">
        <f>IF(5 = R64, I64 * -1, I64)</f>
        <v>-0</v>
      </c>
      <c r="BA64" s="19">
        <f>IF(5 = R64, J64 * -1, J64)</f>
        <v>-2202.39</v>
      </c>
      <c r="BB64" s="19">
        <v>0.0</v>
      </c>
      <c r="BC64" s="19">
        <f>IF(5 = R64, K64 * -1, K64)</f>
        <v>-0</v>
      </c>
      <c r="BD64" s="19">
        <v>0.0</v>
      </c>
      <c r="BE64" s="19">
        <f>IF(5 = R64, L64 * -1, L64)</f>
        <v>-0</v>
      </c>
      <c r="BF64" s="19">
        <f>IF(5 = R64, M64 * -1, M64)</f>
        <v>-0</v>
      </c>
      <c r="BG64" s="19">
        <f>IF(5 = R64, N64 * -1, N64)</f>
        <v>-0</v>
      </c>
      <c r="BH64" s="19">
        <f>IF(5 = R64, O64 * -1, O64)</f>
        <v>-2202.39</v>
      </c>
      <c r="BI64" s="19">
        <f>IF(5 = R64, P64 * -1, P64)</f>
        <v>-0</v>
      </c>
    </row>
    <row r="65" spans="1:90">
      <c r="A65" s="9" t="s">
        <v>163</v>
      </c>
      <c r="B65" s="18" t="s">
        <v>164</v>
      </c>
      <c r="C65" s="20">
        <v>0.0</v>
      </c>
      <c r="D65" s="20">
        <v>0.0</v>
      </c>
      <c r="E65" s="20">
        <v>0.0</v>
      </c>
      <c r="F65" s="20">
        <v>0.0</v>
      </c>
      <c r="G65" s="20">
        <v>0.0</v>
      </c>
      <c r="H65" s="20">
        <v>0.0</v>
      </c>
      <c r="I65" s="20">
        <v>0.0</v>
      </c>
      <c r="J65" s="20">
        <v>6440.75</v>
      </c>
      <c r="K65" s="20">
        <v>0.0</v>
      </c>
      <c r="L65" s="20">
        <v>0.0</v>
      </c>
      <c r="M65" s="20">
        <v>0.0</v>
      </c>
      <c r="N65" s="20">
        <v>0.0</v>
      </c>
      <c r="O65" s="20">
        <v>6440.75</v>
      </c>
      <c r="P65" s="20">
        <v>0.0</v>
      </c>
      <c r="R65" s="19">
        <v>5.0</v>
      </c>
      <c r="V65" s="19">
        <v>100017.0</v>
      </c>
      <c r="W65" s="19">
        <v>100128578.0</v>
      </c>
      <c r="X65" s="18" t="s">
        <v>155</v>
      </c>
      <c r="Y65" s="18" t="s">
        <v>155</v>
      </c>
      <c r="Z65" s="18" t="s">
        <v>156</v>
      </c>
      <c r="AA65" s="18" t="s">
        <v>164</v>
      </c>
      <c r="AB65" s="19">
        <v>5480.0</v>
      </c>
      <c r="AC65" s="19">
        <v>1.0</v>
      </c>
      <c r="AD65" s="19">
        <v>6422.0</v>
      </c>
      <c r="AE65" s="19">
        <v>7.0</v>
      </c>
      <c r="AF65" s="18" t="s">
        <v>135</v>
      </c>
      <c r="AG65" s="19">
        <v>5.0</v>
      </c>
      <c r="AH65" s="19">
        <v>-1.0</v>
      </c>
      <c r="AI65" s="19">
        <v>2234.0</v>
      </c>
      <c r="AJ65" s="19">
        <v>1.0</v>
      </c>
      <c r="AK65" s="19">
        <v>0.0</v>
      </c>
      <c r="AL65" s="19">
        <v>0.0</v>
      </c>
      <c r="AM65" s="19">
        <v>0.0</v>
      </c>
      <c r="AN65" s="19">
        <v>0.0</v>
      </c>
      <c r="AO65" s="19">
        <v>0.0</v>
      </c>
      <c r="AP65" s="19">
        <v>0.0</v>
      </c>
      <c r="AQ65" s="19">
        <v>0.0</v>
      </c>
      <c r="AR65" s="19">
        <v>0.0</v>
      </c>
      <c r="AS65" s="19">
        <v>0.0</v>
      </c>
      <c r="AT65" s="19">
        <f>IF(5 = R65, C65 * -1, C65)</f>
        <v>-0</v>
      </c>
      <c r="AU65" s="19">
        <f>IF(5 = R65, D65 * -1, D65)</f>
        <v>-0</v>
      </c>
      <c r="AV65" s="19">
        <f>IF(5 = R65, E65 * -1, E65)</f>
        <v>-0</v>
      </c>
      <c r="AW65" s="19">
        <f>IF(5 = R65, F65 * -1, F65)</f>
        <v>-0</v>
      </c>
      <c r="AX65" s="19">
        <f>IF(5 = R65, G65 * -1, G65)</f>
        <v>-0</v>
      </c>
      <c r="AY65" s="19">
        <f>IF(5 = R65, H65 * -1, H65)</f>
        <v>-0</v>
      </c>
      <c r="AZ65" s="19">
        <f>IF(5 = R65, I65 * -1, I65)</f>
        <v>-0</v>
      </c>
      <c r="BA65" s="19">
        <f>IF(5 = R65, J65 * -1, J65)</f>
        <v>-6440.75</v>
      </c>
      <c r="BB65" s="19">
        <v>0.0</v>
      </c>
      <c r="BC65" s="19">
        <f>IF(5 = R65, K65 * -1, K65)</f>
        <v>-0</v>
      </c>
      <c r="BD65" s="19">
        <v>0.0</v>
      </c>
      <c r="BE65" s="19">
        <f>IF(5 = R65, L65 * -1, L65)</f>
        <v>-0</v>
      </c>
      <c r="BF65" s="19">
        <f>IF(5 = R65, M65 * -1, M65)</f>
        <v>-0</v>
      </c>
      <c r="BG65" s="19">
        <f>IF(5 = R65, N65 * -1, N65)</f>
        <v>-0</v>
      </c>
      <c r="BH65" s="19">
        <f>IF(5 = R65, O65 * -1, O65)</f>
        <v>-6440.75</v>
      </c>
      <c r="BI65" s="19">
        <f>IF(5 = R65, P65 * -1, P65)</f>
        <v>-0</v>
      </c>
    </row>
    <row r="66" spans="1:90">
      <c r="B66" s="7" t="s">
        <v>152</v>
      </c>
      <c r="C66" s="12">
        <f>IF(5 = R66, AT66 * -1, AT66)</f>
        <v>-0</v>
      </c>
      <c r="D66" s="12">
        <f>IF(5 = R66, AU66 * -1, AU66)</f>
        <v>-0</v>
      </c>
      <c r="E66" s="12">
        <f>IF(5 = R66, AV66 * -1, AV66)</f>
        <v>-0</v>
      </c>
      <c r="F66" s="12">
        <f>IF(5 = R66, AW66 * -1, AW66)</f>
        <v>-0</v>
      </c>
      <c r="G66" s="12">
        <f>IF(5 = R66, AX66 * -1, AX66)</f>
        <v>-0</v>
      </c>
      <c r="H66" s="12">
        <f>IF(5 = R66, AY66 * -1, AY66)</f>
        <v>-0</v>
      </c>
      <c r="I66" s="12">
        <f>IF(5 = R66, AZ66 * -1, AZ66)</f>
        <v>-0</v>
      </c>
      <c r="J66" s="12">
        <f>IF(5 = R66, BA66 * -1, BA66)</f>
        <v>11124.07</v>
      </c>
      <c r="K66" s="12">
        <f>IF(5 = R66, BC66 * -1, BC66)</f>
        <v>1475.99</v>
      </c>
      <c r="L66" s="12">
        <f>IF(5 = R66, BE66 * -1, BE66)</f>
        <v>1121.66</v>
      </c>
      <c r="M66" s="12">
        <f>IF(5 = R66, BF66 * -1, BF66)</f>
        <v>1465.03</v>
      </c>
      <c r="N66" s="12">
        <f>IF(5 = R66, BG66 * -1, BG66)</f>
        <v>1071.95</v>
      </c>
      <c r="O66" s="12">
        <f>IF(5 = R66, BH66 * -1, BH66)</f>
        <v>16258.7</v>
      </c>
      <c r="P66" s="12">
        <f>IF(5 = R66, BI66 * -1, BI66)</f>
        <v>5134.63</v>
      </c>
      <c r="R66" s="11">
        <v>5</v>
      </c>
      <c r="S66" s="13">
        <f>S65</f>
        <v>0</v>
      </c>
      <c r="T66" s="13">
        <f>T65</f>
        <v>0</v>
      </c>
      <c r="U66" s="11">
        <f>U65</f>
        <v>0</v>
      </c>
      <c r="V66" s="19"/>
      <c r="W66" s="19"/>
      <c r="X66" s="18"/>
      <c r="Y66" s="18"/>
      <c r="Z66" s="18"/>
      <c r="AA66" s="18"/>
      <c r="AB66" s="19"/>
      <c r="AC66" s="19"/>
      <c r="AD66" s="19"/>
      <c r="AE66" s="19"/>
      <c r="AF66" s="18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1">
        <f>SUM(AT61:AT65)</f>
        <v>0</v>
      </c>
      <c r="AU66" s="11">
        <f>SUM(AU61:AU65)</f>
        <v>0</v>
      </c>
      <c r="AV66" s="11">
        <f>SUM(AV61:AV65)</f>
        <v>0</v>
      </c>
      <c r="AW66" s="11">
        <f>SUM(AW61:AW65)</f>
        <v>0</v>
      </c>
      <c r="AX66" s="11">
        <f>SUM(AX61:AX65)</f>
        <v>0</v>
      </c>
      <c r="AY66" s="11">
        <f>SUM(AY61:AY65)</f>
        <v>0</v>
      </c>
      <c r="AZ66" s="11">
        <f>SUM(AZ61:AZ65)</f>
        <v>0</v>
      </c>
      <c r="BA66" s="11">
        <f>SUM(BA61:BA65)</f>
        <v>-11124.07</v>
      </c>
      <c r="BB66" s="19"/>
      <c r="BC66" s="11">
        <f>SUM(BC61:BC65)</f>
        <v>-1475.99</v>
      </c>
      <c r="BD66" s="19"/>
      <c r="BE66" s="11">
        <f>SUM(BE61:BE65)</f>
        <v>-1121.66</v>
      </c>
      <c r="BF66" s="11">
        <f>SUM(BF61:BF65)</f>
        <v>-1465.03</v>
      </c>
      <c r="BG66" s="11">
        <f>SUM(BG61:BG65)</f>
        <v>-1071.95</v>
      </c>
      <c r="BH66" s="11">
        <f>SUM(BH61:BH65)</f>
        <v>-16258.7</v>
      </c>
      <c r="BI66" s="11">
        <f>SUM(BI61:BI65)</f>
        <v>-5134.63</v>
      </c>
    </row>
    <row r="67" spans="1:90">
      <c r="B67" s="18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R67" s="19"/>
      <c r="V67" s="19"/>
      <c r="W67" s="19"/>
      <c r="X67" s="18"/>
      <c r="Y67" s="18"/>
      <c r="Z67" s="18"/>
      <c r="AA67" s="18"/>
      <c r="AB67" s="19"/>
      <c r="AC67" s="19"/>
      <c r="AD67" s="19"/>
      <c r="AE67" s="19"/>
      <c r="AF67" s="18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spans="1:90">
      <c r="A68" s="8" t="s">
        <v>165</v>
      </c>
      <c r="B68" s="18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R68" s="19"/>
      <c r="V68" s="19"/>
      <c r="W68" s="19"/>
      <c r="X68" s="18"/>
      <c r="Y68" s="18"/>
      <c r="Z68" s="18"/>
      <c r="AA68" s="18"/>
      <c r="AB68" s="19"/>
      <c r="AC68" s="19"/>
      <c r="AD68" s="19"/>
      <c r="AE68" s="19"/>
      <c r="AF68" s="18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</row>
    <row r="69" spans="1:90">
      <c r="A69" s="9" t="s">
        <v>166</v>
      </c>
      <c r="B69" s="18" t="s">
        <v>167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8895.18</v>
      </c>
      <c r="K69" s="20">
        <v>99.9</v>
      </c>
      <c r="L69" s="20">
        <v>324.5</v>
      </c>
      <c r="M69" s="20">
        <v>1658.39</v>
      </c>
      <c r="N69" s="20">
        <v>319.6</v>
      </c>
      <c r="O69" s="20">
        <v>11297.57</v>
      </c>
      <c r="P69" s="20">
        <v>2402.39</v>
      </c>
      <c r="R69" s="19">
        <v>5.0</v>
      </c>
      <c r="V69" s="19">
        <v>100017.0</v>
      </c>
      <c r="W69" s="19">
        <v>100128578.0</v>
      </c>
      <c r="X69" s="18" t="s">
        <v>168</v>
      </c>
      <c r="Y69" s="18" t="s">
        <v>168</v>
      </c>
      <c r="Z69" s="18" t="s">
        <v>169</v>
      </c>
      <c r="AA69" s="18" t="s">
        <v>167</v>
      </c>
      <c r="AB69" s="19">
        <v>5510.0</v>
      </c>
      <c r="AC69" s="19">
        <v>1.0</v>
      </c>
      <c r="AD69" s="19">
        <v>6423.0</v>
      </c>
      <c r="AE69" s="19">
        <v>0.0</v>
      </c>
      <c r="AF69" s="18" t="s">
        <v>135</v>
      </c>
      <c r="AG69" s="19">
        <v>5.0</v>
      </c>
      <c r="AH69" s="19">
        <v>-1.0</v>
      </c>
      <c r="AI69" s="19">
        <v>2238.0</v>
      </c>
      <c r="AJ69" s="19">
        <v>7.0</v>
      </c>
      <c r="AK69" s="19">
        <v>0.0</v>
      </c>
      <c r="AL69" s="19">
        <v>0.0</v>
      </c>
      <c r="AM69" s="19">
        <v>0.0</v>
      </c>
      <c r="AN69" s="19">
        <v>0.0</v>
      </c>
      <c r="AO69" s="19">
        <v>0.0</v>
      </c>
      <c r="AP69" s="19">
        <v>0.0</v>
      </c>
      <c r="AQ69" s="19">
        <v>324.5</v>
      </c>
      <c r="AR69" s="19">
        <v>1.0</v>
      </c>
      <c r="AS69" s="19">
        <v>0.0</v>
      </c>
      <c r="AT69" s="19">
        <f>IF(5 = R69, C69 * -1, C69)</f>
        <v>-0</v>
      </c>
      <c r="AU69" s="19">
        <f>IF(5 = R69, D69 * -1, D69)</f>
        <v>-0</v>
      </c>
      <c r="AV69" s="19">
        <f>IF(5 = R69, E69 * -1, E69)</f>
        <v>-0</v>
      </c>
      <c r="AW69" s="19">
        <f>IF(5 = R69, F69 * -1, F69)</f>
        <v>-0</v>
      </c>
      <c r="AX69" s="19">
        <f>IF(5 = R69, G69 * -1, G69)</f>
        <v>-0</v>
      </c>
      <c r="AY69" s="19">
        <f>IF(5 = R69, H69 * -1, H69)</f>
        <v>-0</v>
      </c>
      <c r="AZ69" s="19">
        <f>IF(5 = R69, I69 * -1, I69)</f>
        <v>-0</v>
      </c>
      <c r="BA69" s="19">
        <f>IF(5 = R69, J69 * -1, J69)</f>
        <v>-8895.18</v>
      </c>
      <c r="BB69" s="19">
        <v>-99.9</v>
      </c>
      <c r="BC69" s="19">
        <f>IF(5 = R69, K69 * -1, K69)</f>
        <v>-99.9</v>
      </c>
      <c r="BD69" s="19">
        <v>-324.5</v>
      </c>
      <c r="BE69" s="19">
        <f>IF(5 = R69, L69 * -1, L69)</f>
        <v>-324.5</v>
      </c>
      <c r="BF69" s="19">
        <f>IF(5 = R69, M69 * -1, M69)</f>
        <v>-1658.39</v>
      </c>
      <c r="BG69" s="19">
        <f>IF(5 = R69, N69 * -1, N69)</f>
        <v>-319.6</v>
      </c>
      <c r="BH69" s="19">
        <f>IF(5 = R69, O69 * -1, O69)</f>
        <v>-11297.57</v>
      </c>
      <c r="BI69" s="19">
        <f>IF(5 = R69, P69 * -1, P69)</f>
        <v>-2402.39</v>
      </c>
    </row>
    <row r="70" spans="1:90">
      <c r="A70" s="9" t="s">
        <v>170</v>
      </c>
      <c r="B70" s="18" t="s">
        <v>171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38928.11</v>
      </c>
      <c r="K70" s="20">
        <v>1011.27</v>
      </c>
      <c r="L70" s="20">
        <v>945.66</v>
      </c>
      <c r="M70" s="20">
        <v>1489.24</v>
      </c>
      <c r="N70" s="20">
        <v>551.12</v>
      </c>
      <c r="O70" s="20">
        <v>42925.4</v>
      </c>
      <c r="P70" s="20">
        <v>3997.29</v>
      </c>
      <c r="R70" s="19">
        <v>5.0</v>
      </c>
      <c r="V70" s="19">
        <v>100017.0</v>
      </c>
      <c r="W70" s="19">
        <v>100128578.0</v>
      </c>
      <c r="X70" s="18" t="s">
        <v>168</v>
      </c>
      <c r="Y70" s="18" t="s">
        <v>168</v>
      </c>
      <c r="Z70" s="18" t="s">
        <v>169</v>
      </c>
      <c r="AA70" s="18" t="s">
        <v>171</v>
      </c>
      <c r="AB70" s="19">
        <v>5520.0</v>
      </c>
      <c r="AC70" s="19">
        <v>1.0</v>
      </c>
      <c r="AD70" s="19">
        <v>6424.0</v>
      </c>
      <c r="AE70" s="19">
        <v>1.0</v>
      </c>
      <c r="AF70" s="18" t="s">
        <v>135</v>
      </c>
      <c r="AG70" s="19">
        <v>5.0</v>
      </c>
      <c r="AH70" s="19">
        <v>-1.0</v>
      </c>
      <c r="AI70" s="19">
        <v>2238.0</v>
      </c>
      <c r="AJ70" s="19">
        <v>7.0</v>
      </c>
      <c r="AK70" s="19">
        <v>0.0</v>
      </c>
      <c r="AL70" s="19">
        <v>0.0</v>
      </c>
      <c r="AM70" s="19">
        <v>0.0</v>
      </c>
      <c r="AN70" s="19">
        <v>0.0</v>
      </c>
      <c r="AO70" s="19">
        <v>0.0</v>
      </c>
      <c r="AP70" s="19">
        <v>0.0</v>
      </c>
      <c r="AQ70" s="19">
        <v>945.66</v>
      </c>
      <c r="AR70" s="19">
        <v>1.0</v>
      </c>
      <c r="AS70" s="19">
        <v>0.0</v>
      </c>
      <c r="AT70" s="19">
        <f>IF(5 = R70, C70 * -1, C70)</f>
        <v>-0</v>
      </c>
      <c r="AU70" s="19">
        <f>IF(5 = R70, D70 * -1, D70)</f>
        <v>-0</v>
      </c>
      <c r="AV70" s="19">
        <f>IF(5 = R70, E70 * -1, E70)</f>
        <v>-0</v>
      </c>
      <c r="AW70" s="19">
        <f>IF(5 = R70, F70 * -1, F70)</f>
        <v>-0</v>
      </c>
      <c r="AX70" s="19">
        <f>IF(5 = R70, G70 * -1, G70)</f>
        <v>-0</v>
      </c>
      <c r="AY70" s="19">
        <f>IF(5 = R70, H70 * -1, H70)</f>
        <v>-0</v>
      </c>
      <c r="AZ70" s="19">
        <f>IF(5 = R70, I70 * -1, I70)</f>
        <v>-0</v>
      </c>
      <c r="BA70" s="19">
        <f>IF(5 = R70, J70 * -1, J70)</f>
        <v>-38928.11</v>
      </c>
      <c r="BB70" s="19">
        <v>-1011.27</v>
      </c>
      <c r="BC70" s="19">
        <f>IF(5 = R70, K70 * -1, K70)</f>
        <v>-1011.27</v>
      </c>
      <c r="BD70" s="19">
        <v>-945.66</v>
      </c>
      <c r="BE70" s="19">
        <f>IF(5 = R70, L70 * -1, L70)</f>
        <v>-945.66</v>
      </c>
      <c r="BF70" s="19">
        <f>IF(5 = R70, M70 * -1, M70)</f>
        <v>-1489.24</v>
      </c>
      <c r="BG70" s="19">
        <f>IF(5 = R70, N70 * -1, N70)</f>
        <v>-551.12</v>
      </c>
      <c r="BH70" s="19">
        <f>IF(5 = R70, O70 * -1, O70)</f>
        <v>-42925.4</v>
      </c>
      <c r="BI70" s="19">
        <f>IF(5 = R70, P70 * -1, P70)</f>
        <v>-3997.29</v>
      </c>
    </row>
    <row r="71" spans="1:90">
      <c r="A71" s="9" t="s">
        <v>172</v>
      </c>
      <c r="B71" s="18" t="s">
        <v>173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10907.08</v>
      </c>
      <c r="K71" s="20">
        <v>0.0</v>
      </c>
      <c r="L71" s="20">
        <v>0.0</v>
      </c>
      <c r="M71" s="20">
        <v>0.0</v>
      </c>
      <c r="N71" s="20">
        <v>450.0</v>
      </c>
      <c r="O71" s="20">
        <v>11357.08</v>
      </c>
      <c r="P71" s="20">
        <v>450.0</v>
      </c>
      <c r="R71" s="19">
        <v>5.0</v>
      </c>
      <c r="V71" s="19">
        <v>100017.0</v>
      </c>
      <c r="W71" s="19">
        <v>100128578.0</v>
      </c>
      <c r="X71" s="18" t="s">
        <v>168</v>
      </c>
      <c r="Y71" s="18" t="s">
        <v>168</v>
      </c>
      <c r="Z71" s="18" t="s">
        <v>169</v>
      </c>
      <c r="AA71" s="18" t="s">
        <v>173</v>
      </c>
      <c r="AB71" s="19">
        <v>5530.0</v>
      </c>
      <c r="AC71" s="19">
        <v>1.0</v>
      </c>
      <c r="AD71" s="19">
        <v>6425.0</v>
      </c>
      <c r="AE71" s="19">
        <v>2.0</v>
      </c>
      <c r="AF71" s="18" t="s">
        <v>135</v>
      </c>
      <c r="AG71" s="19">
        <v>5.0</v>
      </c>
      <c r="AH71" s="19">
        <v>-1.0</v>
      </c>
      <c r="AI71" s="19">
        <v>2238.0</v>
      </c>
      <c r="AJ71" s="19">
        <v>4.0</v>
      </c>
      <c r="AK71" s="19">
        <v>0.0</v>
      </c>
      <c r="AL71" s="19">
        <v>0.0</v>
      </c>
      <c r="AM71" s="19">
        <v>0.0</v>
      </c>
      <c r="AN71" s="19">
        <v>0.0</v>
      </c>
      <c r="AO71" s="19">
        <v>0.0</v>
      </c>
      <c r="AP71" s="19">
        <v>0.0</v>
      </c>
      <c r="AQ71" s="19">
        <v>0.0</v>
      </c>
      <c r="AR71" s="19">
        <v>1.0</v>
      </c>
      <c r="AS71" s="19">
        <v>0.0</v>
      </c>
      <c r="AT71" s="19">
        <f>IF(5 = R71, C71 * -1, C71)</f>
        <v>-0</v>
      </c>
      <c r="AU71" s="19">
        <f>IF(5 = R71, D71 * -1, D71)</f>
        <v>-0</v>
      </c>
      <c r="AV71" s="19">
        <f>IF(5 = R71, E71 * -1, E71)</f>
        <v>-0</v>
      </c>
      <c r="AW71" s="19">
        <f>IF(5 = R71, F71 * -1, F71)</f>
        <v>-0</v>
      </c>
      <c r="AX71" s="19">
        <f>IF(5 = R71, G71 * -1, G71)</f>
        <v>-0</v>
      </c>
      <c r="AY71" s="19">
        <f>IF(5 = R71, H71 * -1, H71)</f>
        <v>-0</v>
      </c>
      <c r="AZ71" s="19">
        <f>IF(5 = R71, I71 * -1, I71)</f>
        <v>-0</v>
      </c>
      <c r="BA71" s="19">
        <f>IF(5 = R71, J71 * -1, J71)</f>
        <v>-10907.08</v>
      </c>
      <c r="BB71" s="19">
        <v>0.0</v>
      </c>
      <c r="BC71" s="19">
        <f>IF(5 = R71, K71 * -1, K71)</f>
        <v>-0</v>
      </c>
      <c r="BD71" s="19">
        <v>0.0</v>
      </c>
      <c r="BE71" s="19">
        <f>IF(5 = R71, L71 * -1, L71)</f>
        <v>-0</v>
      </c>
      <c r="BF71" s="19">
        <f>IF(5 = R71, M71 * -1, M71)</f>
        <v>-0</v>
      </c>
      <c r="BG71" s="19">
        <f>IF(5 = R71, N71 * -1, N71)</f>
        <v>-450</v>
      </c>
      <c r="BH71" s="19">
        <f>IF(5 = R71, O71 * -1, O71)</f>
        <v>-11357.08</v>
      </c>
      <c r="BI71" s="19">
        <f>IF(5 = R71, P71 * -1, P71)</f>
        <v>-450</v>
      </c>
    </row>
    <row r="72" spans="1:90">
      <c r="A72" s="9" t="s">
        <v>174</v>
      </c>
      <c r="B72" s="18" t="s">
        <v>175</v>
      </c>
      <c r="C72" s="20">
        <v>0.0</v>
      </c>
      <c r="D72" s="20">
        <v>0.0</v>
      </c>
      <c r="E72" s="20">
        <v>0.0</v>
      </c>
      <c r="F72" s="20">
        <v>0.0</v>
      </c>
      <c r="G72" s="20">
        <v>0.0</v>
      </c>
      <c r="H72" s="20">
        <v>0.0</v>
      </c>
      <c r="I72" s="20">
        <v>0.0</v>
      </c>
      <c r="J72" s="20">
        <v>250.0</v>
      </c>
      <c r="K72" s="20">
        <v>300.0</v>
      </c>
      <c r="L72" s="20">
        <v>0.0</v>
      </c>
      <c r="M72" s="20">
        <v>0.0</v>
      </c>
      <c r="N72" s="20">
        <v>2728.0</v>
      </c>
      <c r="O72" s="20">
        <v>3278.0</v>
      </c>
      <c r="P72" s="20">
        <v>3028.0</v>
      </c>
      <c r="R72" s="19">
        <v>5.0</v>
      </c>
      <c r="V72" s="19">
        <v>100017.0</v>
      </c>
      <c r="W72" s="19">
        <v>100128578.0</v>
      </c>
      <c r="X72" s="18" t="s">
        <v>168</v>
      </c>
      <c r="Y72" s="18" t="s">
        <v>168</v>
      </c>
      <c r="Z72" s="18" t="s">
        <v>169</v>
      </c>
      <c r="AA72" s="18" t="s">
        <v>175</v>
      </c>
      <c r="AB72" s="19">
        <v>5540.0</v>
      </c>
      <c r="AC72" s="19">
        <v>1.0</v>
      </c>
      <c r="AD72" s="19">
        <v>6426.0</v>
      </c>
      <c r="AE72" s="19">
        <v>3.0</v>
      </c>
      <c r="AF72" s="18" t="s">
        <v>135</v>
      </c>
      <c r="AG72" s="19">
        <v>5.0</v>
      </c>
      <c r="AH72" s="19">
        <v>-1.0</v>
      </c>
      <c r="AI72" s="19">
        <v>2238.0</v>
      </c>
      <c r="AJ72" s="19">
        <v>3.0</v>
      </c>
      <c r="AK72" s="19">
        <v>0.0</v>
      </c>
      <c r="AL72" s="19">
        <v>0.0</v>
      </c>
      <c r="AM72" s="19">
        <v>0.0</v>
      </c>
      <c r="AN72" s="19">
        <v>0.0</v>
      </c>
      <c r="AO72" s="19">
        <v>0.0</v>
      </c>
      <c r="AP72" s="19">
        <v>0.0</v>
      </c>
      <c r="AQ72" s="19">
        <v>0.0</v>
      </c>
      <c r="AR72" s="19">
        <v>1.0</v>
      </c>
      <c r="AS72" s="19">
        <v>0.0</v>
      </c>
      <c r="AT72" s="19">
        <f>IF(5 = R72, C72 * -1, C72)</f>
        <v>-0</v>
      </c>
      <c r="AU72" s="19">
        <f>IF(5 = R72, D72 * -1, D72)</f>
        <v>-0</v>
      </c>
      <c r="AV72" s="19">
        <f>IF(5 = R72, E72 * -1, E72)</f>
        <v>-0</v>
      </c>
      <c r="AW72" s="19">
        <f>IF(5 = R72, F72 * -1, F72)</f>
        <v>-0</v>
      </c>
      <c r="AX72" s="19">
        <f>IF(5 = R72, G72 * -1, G72)</f>
        <v>-0</v>
      </c>
      <c r="AY72" s="19">
        <f>IF(5 = R72, H72 * -1, H72)</f>
        <v>-0</v>
      </c>
      <c r="AZ72" s="19">
        <f>IF(5 = R72, I72 * -1, I72)</f>
        <v>-0</v>
      </c>
      <c r="BA72" s="19">
        <f>IF(5 = R72, J72 * -1, J72)</f>
        <v>-250</v>
      </c>
      <c r="BB72" s="19">
        <v>-300.0</v>
      </c>
      <c r="BC72" s="19">
        <f>IF(5 = R72, K72 * -1, K72)</f>
        <v>-300</v>
      </c>
      <c r="BD72" s="19">
        <v>0.0</v>
      </c>
      <c r="BE72" s="19">
        <f>IF(5 = R72, L72 * -1, L72)</f>
        <v>-0</v>
      </c>
      <c r="BF72" s="19">
        <f>IF(5 = R72, M72 * -1, M72)</f>
        <v>-0</v>
      </c>
      <c r="BG72" s="19">
        <f>IF(5 = R72, N72 * -1, N72)</f>
        <v>-2728</v>
      </c>
      <c r="BH72" s="19">
        <f>IF(5 = R72, O72 * -1, O72)</f>
        <v>-3278</v>
      </c>
      <c r="BI72" s="19">
        <f>IF(5 = R72, P72 * -1, P72)</f>
        <v>-3028</v>
      </c>
    </row>
    <row r="73" spans="1:90">
      <c r="A73" s="9" t="s">
        <v>176</v>
      </c>
      <c r="B73" s="18" t="s">
        <v>177</v>
      </c>
      <c r="C73" s="20">
        <v>0.0</v>
      </c>
      <c r="D73" s="20">
        <v>0.0</v>
      </c>
      <c r="E73" s="20">
        <v>0.0</v>
      </c>
      <c r="F73" s="20">
        <v>0.0</v>
      </c>
      <c r="G73" s="20">
        <v>0.0</v>
      </c>
      <c r="H73" s="20">
        <v>0.0</v>
      </c>
      <c r="I73" s="20">
        <v>0.0</v>
      </c>
      <c r="J73" s="20">
        <v>11920.93</v>
      </c>
      <c r="K73" s="20">
        <v>0.0</v>
      </c>
      <c r="L73" s="20">
        <v>0.0</v>
      </c>
      <c r="M73" s="20">
        <v>0.0</v>
      </c>
      <c r="N73" s="20">
        <v>0.0</v>
      </c>
      <c r="O73" s="20">
        <v>11920.93</v>
      </c>
      <c r="P73" s="20">
        <v>0.0</v>
      </c>
      <c r="R73" s="19">
        <v>5.0</v>
      </c>
      <c r="V73" s="19">
        <v>100017.0</v>
      </c>
      <c r="W73" s="19">
        <v>100128578.0</v>
      </c>
      <c r="X73" s="18" t="s">
        <v>168</v>
      </c>
      <c r="Y73" s="18" t="s">
        <v>168</v>
      </c>
      <c r="Z73" s="18" t="s">
        <v>169</v>
      </c>
      <c r="AA73" s="18" t="s">
        <v>177</v>
      </c>
      <c r="AB73" s="19">
        <v>5560.0</v>
      </c>
      <c r="AC73" s="19">
        <v>1.0</v>
      </c>
      <c r="AD73" s="19">
        <v>6428.0</v>
      </c>
      <c r="AE73" s="19">
        <v>5.0</v>
      </c>
      <c r="AF73" s="18" t="s">
        <v>135</v>
      </c>
      <c r="AG73" s="19">
        <v>5.0</v>
      </c>
      <c r="AH73" s="19">
        <v>-1.0</v>
      </c>
      <c r="AI73" s="19">
        <v>2238.0</v>
      </c>
      <c r="AJ73" s="19">
        <v>1.0</v>
      </c>
      <c r="AK73" s="19">
        <v>0.0</v>
      </c>
      <c r="AL73" s="19">
        <v>0.0</v>
      </c>
      <c r="AM73" s="19">
        <v>0.0</v>
      </c>
      <c r="AN73" s="19">
        <v>0.0</v>
      </c>
      <c r="AO73" s="19">
        <v>0.0</v>
      </c>
      <c r="AP73" s="19">
        <v>0.0</v>
      </c>
      <c r="AQ73" s="19">
        <v>0.0</v>
      </c>
      <c r="AR73" s="19">
        <v>0.0</v>
      </c>
      <c r="AS73" s="19">
        <v>0.0</v>
      </c>
      <c r="AT73" s="19">
        <f>IF(5 = R73, C73 * -1, C73)</f>
        <v>-0</v>
      </c>
      <c r="AU73" s="19">
        <f>IF(5 = R73, D73 * -1, D73)</f>
        <v>-0</v>
      </c>
      <c r="AV73" s="19">
        <f>IF(5 = R73, E73 * -1, E73)</f>
        <v>-0</v>
      </c>
      <c r="AW73" s="19">
        <f>IF(5 = R73, F73 * -1, F73)</f>
        <v>-0</v>
      </c>
      <c r="AX73" s="19">
        <f>IF(5 = R73, G73 * -1, G73)</f>
        <v>-0</v>
      </c>
      <c r="AY73" s="19">
        <f>IF(5 = R73, H73 * -1, H73)</f>
        <v>-0</v>
      </c>
      <c r="AZ73" s="19">
        <f>IF(5 = R73, I73 * -1, I73)</f>
        <v>-0</v>
      </c>
      <c r="BA73" s="19">
        <f>IF(5 = R73, J73 * -1, J73)</f>
        <v>-11920.93</v>
      </c>
      <c r="BB73" s="19">
        <v>0.0</v>
      </c>
      <c r="BC73" s="19">
        <f>IF(5 = R73, K73 * -1, K73)</f>
        <v>-0</v>
      </c>
      <c r="BD73" s="19">
        <v>0.0</v>
      </c>
      <c r="BE73" s="19">
        <f>IF(5 = R73, L73 * -1, L73)</f>
        <v>-0</v>
      </c>
      <c r="BF73" s="19">
        <f>IF(5 = R73, M73 * -1, M73)</f>
        <v>-0</v>
      </c>
      <c r="BG73" s="19">
        <f>IF(5 = R73, N73 * -1, N73)</f>
        <v>-0</v>
      </c>
      <c r="BH73" s="19">
        <f>IF(5 = R73, O73 * -1, O73)</f>
        <v>-11920.93</v>
      </c>
      <c r="BI73" s="19">
        <f>IF(5 = R73, P73 * -1, P73)</f>
        <v>-0</v>
      </c>
    </row>
    <row r="74" spans="1:90">
      <c r="A74" s="9" t="s">
        <v>178</v>
      </c>
      <c r="B74" s="18" t="s">
        <v>179</v>
      </c>
      <c r="C74" s="20">
        <v>0.0</v>
      </c>
      <c r="D74" s="20">
        <v>0.0</v>
      </c>
      <c r="E74" s="20">
        <v>0.0</v>
      </c>
      <c r="F74" s="20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0">
        <v>0.0</v>
      </c>
      <c r="M74" s="20">
        <v>0.0</v>
      </c>
      <c r="N74" s="20">
        <v>267.38</v>
      </c>
      <c r="O74" s="20">
        <v>267.38</v>
      </c>
      <c r="P74" s="20">
        <v>267.38</v>
      </c>
      <c r="R74" s="19">
        <v>5.0</v>
      </c>
      <c r="V74" s="19">
        <v>100017.0</v>
      </c>
      <c r="W74" s="19">
        <v>100128578.0</v>
      </c>
      <c r="X74" s="18" t="s">
        <v>168</v>
      </c>
      <c r="Y74" s="18" t="s">
        <v>168</v>
      </c>
      <c r="Z74" s="18" t="s">
        <v>169</v>
      </c>
      <c r="AA74" s="18" t="s">
        <v>179</v>
      </c>
      <c r="AB74" s="19">
        <v>5570.0</v>
      </c>
      <c r="AC74" s="19">
        <v>1.0</v>
      </c>
      <c r="AD74" s="19">
        <v>6429.0</v>
      </c>
      <c r="AE74" s="19">
        <v>6.0</v>
      </c>
      <c r="AF74" s="18" t="s">
        <v>135</v>
      </c>
      <c r="AG74" s="19">
        <v>5.0</v>
      </c>
      <c r="AH74" s="19">
        <v>-1.0</v>
      </c>
      <c r="AI74" s="19">
        <v>2238.0</v>
      </c>
      <c r="AJ74" s="19">
        <v>1.0</v>
      </c>
      <c r="AK74" s="19">
        <v>0.0</v>
      </c>
      <c r="AL74" s="19">
        <v>0.0</v>
      </c>
      <c r="AM74" s="19">
        <v>0.0</v>
      </c>
      <c r="AN74" s="19">
        <v>0.0</v>
      </c>
      <c r="AO74" s="19">
        <v>0.0</v>
      </c>
      <c r="AP74" s="19">
        <v>0.0</v>
      </c>
      <c r="AQ74" s="19">
        <v>0.0</v>
      </c>
      <c r="AR74" s="19">
        <v>1.0</v>
      </c>
      <c r="AS74" s="19">
        <v>0.0</v>
      </c>
      <c r="AT74" s="19">
        <f>IF(5 = R74, C74 * -1, C74)</f>
        <v>-0</v>
      </c>
      <c r="AU74" s="19">
        <f>IF(5 = R74, D74 * -1, D74)</f>
        <v>-0</v>
      </c>
      <c r="AV74" s="19">
        <f>IF(5 = R74, E74 * -1, E74)</f>
        <v>-0</v>
      </c>
      <c r="AW74" s="19">
        <f>IF(5 = R74, F74 * -1, F74)</f>
        <v>-0</v>
      </c>
      <c r="AX74" s="19">
        <f>IF(5 = R74, G74 * -1, G74)</f>
        <v>-0</v>
      </c>
      <c r="AY74" s="19">
        <f>IF(5 = R74, H74 * -1, H74)</f>
        <v>-0</v>
      </c>
      <c r="AZ74" s="19">
        <f>IF(5 = R74, I74 * -1, I74)</f>
        <v>-0</v>
      </c>
      <c r="BA74" s="19">
        <f>IF(5 = R74, J74 * -1, J74)</f>
        <v>-0</v>
      </c>
      <c r="BB74" s="19">
        <v>0.0</v>
      </c>
      <c r="BC74" s="19">
        <f>IF(5 = R74, K74 * -1, K74)</f>
        <v>-0</v>
      </c>
      <c r="BD74" s="19">
        <v>0.0</v>
      </c>
      <c r="BE74" s="19">
        <f>IF(5 = R74, L74 * -1, L74)</f>
        <v>-0</v>
      </c>
      <c r="BF74" s="19">
        <f>IF(5 = R74, M74 * -1, M74)</f>
        <v>-0</v>
      </c>
      <c r="BG74" s="19">
        <f>IF(5 = R74, N74 * -1, N74)</f>
        <v>-267.38</v>
      </c>
      <c r="BH74" s="19">
        <f>IF(5 = R74, O74 * -1, O74)</f>
        <v>-267.38</v>
      </c>
      <c r="BI74" s="19">
        <f>IF(5 = R74, P74 * -1, P74)</f>
        <v>-267.38</v>
      </c>
    </row>
    <row r="75" spans="1:90">
      <c r="A75" s="9" t="s">
        <v>180</v>
      </c>
      <c r="B75" s="18" t="s">
        <v>181</v>
      </c>
      <c r="C75" s="20">
        <v>0.0</v>
      </c>
      <c r="D75" s="20">
        <v>0.0</v>
      </c>
      <c r="E75" s="20">
        <v>0.0</v>
      </c>
      <c r="F75" s="20">
        <v>0.0</v>
      </c>
      <c r="G75" s="20">
        <v>0.0</v>
      </c>
      <c r="H75" s="20">
        <v>0.0</v>
      </c>
      <c r="I75" s="20">
        <v>0.0</v>
      </c>
      <c r="J75" s="20">
        <v>7113.58</v>
      </c>
      <c r="K75" s="20">
        <v>129.97</v>
      </c>
      <c r="L75" s="20">
        <v>153.9</v>
      </c>
      <c r="M75" s="20">
        <v>1441.18</v>
      </c>
      <c r="N75" s="20">
        <v>500.83</v>
      </c>
      <c r="O75" s="20">
        <v>9339.46</v>
      </c>
      <c r="P75" s="20">
        <v>2225.88</v>
      </c>
      <c r="R75" s="19">
        <v>5.0</v>
      </c>
      <c r="V75" s="19">
        <v>100017.0</v>
      </c>
      <c r="W75" s="19">
        <v>100128578.0</v>
      </c>
      <c r="X75" s="18" t="s">
        <v>168</v>
      </c>
      <c r="Y75" s="18" t="s">
        <v>168</v>
      </c>
      <c r="Z75" s="18" t="s">
        <v>169</v>
      </c>
      <c r="AA75" s="18" t="s">
        <v>181</v>
      </c>
      <c r="AB75" s="19">
        <v>5580.0</v>
      </c>
      <c r="AC75" s="19">
        <v>1.0</v>
      </c>
      <c r="AD75" s="19">
        <v>6430.0</v>
      </c>
      <c r="AE75" s="19">
        <v>7.0</v>
      </c>
      <c r="AF75" s="18" t="s">
        <v>135</v>
      </c>
      <c r="AG75" s="19">
        <v>5.0</v>
      </c>
      <c r="AH75" s="19">
        <v>-1.0</v>
      </c>
      <c r="AI75" s="19">
        <v>2238.0</v>
      </c>
      <c r="AJ75" s="19">
        <v>7.0</v>
      </c>
      <c r="AK75" s="19">
        <v>0.0</v>
      </c>
      <c r="AL75" s="19">
        <v>0.0</v>
      </c>
      <c r="AM75" s="19">
        <v>0.0</v>
      </c>
      <c r="AN75" s="19">
        <v>0.0</v>
      </c>
      <c r="AO75" s="19">
        <v>0.0</v>
      </c>
      <c r="AP75" s="19">
        <v>0.0</v>
      </c>
      <c r="AQ75" s="19">
        <v>153.9</v>
      </c>
      <c r="AR75" s="19">
        <v>1.0</v>
      </c>
      <c r="AS75" s="19">
        <v>0.0</v>
      </c>
      <c r="AT75" s="19">
        <f>IF(5 = R75, C75 * -1, C75)</f>
        <v>-0</v>
      </c>
      <c r="AU75" s="19">
        <f>IF(5 = R75, D75 * -1, D75)</f>
        <v>-0</v>
      </c>
      <c r="AV75" s="19">
        <f>IF(5 = R75, E75 * -1, E75)</f>
        <v>-0</v>
      </c>
      <c r="AW75" s="19">
        <f>IF(5 = R75, F75 * -1, F75)</f>
        <v>-0</v>
      </c>
      <c r="AX75" s="19">
        <f>IF(5 = R75, G75 * -1, G75)</f>
        <v>-0</v>
      </c>
      <c r="AY75" s="19">
        <f>IF(5 = R75, H75 * -1, H75)</f>
        <v>-0</v>
      </c>
      <c r="AZ75" s="19">
        <f>IF(5 = R75, I75 * -1, I75)</f>
        <v>-0</v>
      </c>
      <c r="BA75" s="19">
        <f>IF(5 = R75, J75 * -1, J75)</f>
        <v>-7113.58</v>
      </c>
      <c r="BB75" s="19">
        <v>-129.97</v>
      </c>
      <c r="BC75" s="19">
        <f>IF(5 = R75, K75 * -1, K75)</f>
        <v>-129.97</v>
      </c>
      <c r="BD75" s="19">
        <v>-153.9</v>
      </c>
      <c r="BE75" s="19">
        <f>IF(5 = R75, L75 * -1, L75)</f>
        <v>-153.9</v>
      </c>
      <c r="BF75" s="19">
        <f>IF(5 = R75, M75 * -1, M75)</f>
        <v>-1441.18</v>
      </c>
      <c r="BG75" s="19">
        <f>IF(5 = R75, N75 * -1, N75)</f>
        <v>-500.83</v>
      </c>
      <c r="BH75" s="19">
        <f>IF(5 = R75, O75 * -1, O75)</f>
        <v>-9339.46</v>
      </c>
      <c r="BI75" s="19">
        <f>IF(5 = R75, P75 * -1, P75)</f>
        <v>-2225.88</v>
      </c>
    </row>
    <row r="76" spans="1:90">
      <c r="A76" s="9" t="s">
        <v>182</v>
      </c>
      <c r="B76" s="18" t="s">
        <v>183</v>
      </c>
      <c r="C76" s="20">
        <v>0.0</v>
      </c>
      <c r="D76" s="20">
        <v>0.0</v>
      </c>
      <c r="E76" s="20">
        <v>0.0</v>
      </c>
      <c r="F76" s="20">
        <v>0.0</v>
      </c>
      <c r="G76" s="20">
        <v>0.0</v>
      </c>
      <c r="H76" s="20">
        <v>0.0</v>
      </c>
      <c r="I76" s="20">
        <v>0.0</v>
      </c>
      <c r="J76" s="20">
        <v>18145.49</v>
      </c>
      <c r="K76" s="20">
        <v>0.0</v>
      </c>
      <c r="L76" s="20">
        <v>0.0</v>
      </c>
      <c r="M76" s="20">
        <v>62.16</v>
      </c>
      <c r="N76" s="20">
        <v>-37.52</v>
      </c>
      <c r="O76" s="20">
        <v>18170.13</v>
      </c>
      <c r="P76" s="20">
        <v>24.64</v>
      </c>
      <c r="R76" s="19">
        <v>5.0</v>
      </c>
      <c r="V76" s="19">
        <v>100017.0</v>
      </c>
      <c r="W76" s="19">
        <v>100128578.0</v>
      </c>
      <c r="X76" s="18" t="s">
        <v>168</v>
      </c>
      <c r="Y76" s="18" t="s">
        <v>168</v>
      </c>
      <c r="Z76" s="18" t="s">
        <v>169</v>
      </c>
      <c r="AA76" s="18" t="s">
        <v>183</v>
      </c>
      <c r="AB76" s="19">
        <v>5630.0</v>
      </c>
      <c r="AC76" s="19">
        <v>1.0</v>
      </c>
      <c r="AD76" s="19">
        <v>6434.0</v>
      </c>
      <c r="AE76" s="19">
        <v>11.0</v>
      </c>
      <c r="AF76" s="18" t="s">
        <v>135</v>
      </c>
      <c r="AG76" s="19">
        <v>5.0</v>
      </c>
      <c r="AH76" s="19">
        <v>-1.0</v>
      </c>
      <c r="AI76" s="19">
        <v>2238.0</v>
      </c>
      <c r="AJ76" s="19">
        <v>7.0</v>
      </c>
      <c r="AK76" s="19">
        <v>0.0</v>
      </c>
      <c r="AL76" s="19">
        <v>0.0</v>
      </c>
      <c r="AM76" s="19">
        <v>0.0</v>
      </c>
      <c r="AN76" s="19">
        <v>0.0</v>
      </c>
      <c r="AO76" s="19">
        <v>0.0</v>
      </c>
      <c r="AP76" s="19">
        <v>0.0</v>
      </c>
      <c r="AQ76" s="19">
        <v>0.0</v>
      </c>
      <c r="AR76" s="19">
        <v>1.0</v>
      </c>
      <c r="AS76" s="19">
        <v>0.0</v>
      </c>
      <c r="AT76" s="19">
        <f>IF(5 = R76, C76 * -1, C76)</f>
        <v>-0</v>
      </c>
      <c r="AU76" s="19">
        <f>IF(5 = R76, D76 * -1, D76)</f>
        <v>-0</v>
      </c>
      <c r="AV76" s="19">
        <f>IF(5 = R76, E76 * -1, E76)</f>
        <v>-0</v>
      </c>
      <c r="AW76" s="19">
        <f>IF(5 = R76, F76 * -1, F76)</f>
        <v>-0</v>
      </c>
      <c r="AX76" s="19">
        <f>IF(5 = R76, G76 * -1, G76)</f>
        <v>-0</v>
      </c>
      <c r="AY76" s="19">
        <f>IF(5 = R76, H76 * -1, H76)</f>
        <v>-0</v>
      </c>
      <c r="AZ76" s="19">
        <f>IF(5 = R76, I76 * -1, I76)</f>
        <v>-0</v>
      </c>
      <c r="BA76" s="19">
        <f>IF(5 = R76, J76 * -1, J76)</f>
        <v>-18145.49</v>
      </c>
      <c r="BB76" s="19">
        <v>0.0</v>
      </c>
      <c r="BC76" s="19">
        <f>IF(5 = R76, K76 * -1, K76)</f>
        <v>-0</v>
      </c>
      <c r="BD76" s="19">
        <v>0.0</v>
      </c>
      <c r="BE76" s="19">
        <f>IF(5 = R76, L76 * -1, L76)</f>
        <v>-0</v>
      </c>
      <c r="BF76" s="19">
        <f>IF(5 = R76, M76 * -1, M76)</f>
        <v>-62.16</v>
      </c>
      <c r="BG76" s="19">
        <f>IF(5 = R76, N76 * -1, N76)</f>
        <v>37.52</v>
      </c>
      <c r="BH76" s="19">
        <f>IF(5 = R76, O76 * -1, O76)</f>
        <v>-18170.13</v>
      </c>
      <c r="BI76" s="19">
        <f>IF(5 = R76, P76 * -1, P76)</f>
        <v>-24.64</v>
      </c>
    </row>
    <row r="77" spans="1:90">
      <c r="A77" s="9" t="s">
        <v>184</v>
      </c>
      <c r="B77" s="18" t="s">
        <v>185</v>
      </c>
      <c r="C77" s="20">
        <v>0.0</v>
      </c>
      <c r="D77" s="20">
        <v>0.0</v>
      </c>
      <c r="E77" s="20">
        <v>0.0</v>
      </c>
      <c r="F77" s="20">
        <v>0.0</v>
      </c>
      <c r="G77" s="20">
        <v>0.0</v>
      </c>
      <c r="H77" s="20">
        <v>0.0</v>
      </c>
      <c r="I77" s="20">
        <v>0.0</v>
      </c>
      <c r="J77" s="20">
        <v>1566.15</v>
      </c>
      <c r="K77" s="20">
        <v>0.0</v>
      </c>
      <c r="L77" s="20">
        <v>0.0</v>
      </c>
      <c r="M77" s="20">
        <v>302.75</v>
      </c>
      <c r="N77" s="20">
        <v>172.02</v>
      </c>
      <c r="O77" s="20">
        <v>2040.92</v>
      </c>
      <c r="P77" s="20">
        <v>474.77</v>
      </c>
      <c r="R77" s="19">
        <v>5.0</v>
      </c>
      <c r="V77" s="19">
        <v>100017.0</v>
      </c>
      <c r="W77" s="19">
        <v>100128578.0</v>
      </c>
      <c r="X77" s="18" t="s">
        <v>168</v>
      </c>
      <c r="Y77" s="18" t="s">
        <v>168</v>
      </c>
      <c r="Z77" s="18" t="s">
        <v>169</v>
      </c>
      <c r="AA77" s="18" t="s">
        <v>185</v>
      </c>
      <c r="AB77" s="19">
        <v>5640.0</v>
      </c>
      <c r="AC77" s="19">
        <v>1.0</v>
      </c>
      <c r="AD77" s="19">
        <v>6435.0</v>
      </c>
      <c r="AE77" s="19">
        <v>12.0</v>
      </c>
      <c r="AF77" s="18" t="s">
        <v>135</v>
      </c>
      <c r="AG77" s="19">
        <v>5.0</v>
      </c>
      <c r="AH77" s="19">
        <v>-1.0</v>
      </c>
      <c r="AI77" s="19">
        <v>2238.0</v>
      </c>
      <c r="AJ77" s="19">
        <v>5.0</v>
      </c>
      <c r="AK77" s="19">
        <v>0.0</v>
      </c>
      <c r="AL77" s="19">
        <v>0.0</v>
      </c>
      <c r="AM77" s="19">
        <v>0.0</v>
      </c>
      <c r="AN77" s="19">
        <v>0.0</v>
      </c>
      <c r="AO77" s="19">
        <v>0.0</v>
      </c>
      <c r="AP77" s="19">
        <v>0.0</v>
      </c>
      <c r="AQ77" s="19">
        <v>0.0</v>
      </c>
      <c r="AR77" s="19">
        <v>1.0</v>
      </c>
      <c r="AS77" s="19">
        <v>0.0</v>
      </c>
      <c r="AT77" s="19">
        <f>IF(5 = R77, C77 * -1, C77)</f>
        <v>-0</v>
      </c>
      <c r="AU77" s="19">
        <f>IF(5 = R77, D77 * -1, D77)</f>
        <v>-0</v>
      </c>
      <c r="AV77" s="19">
        <f>IF(5 = R77, E77 * -1, E77)</f>
        <v>-0</v>
      </c>
      <c r="AW77" s="19">
        <f>IF(5 = R77, F77 * -1, F77)</f>
        <v>-0</v>
      </c>
      <c r="AX77" s="19">
        <f>IF(5 = R77, G77 * -1, G77)</f>
        <v>-0</v>
      </c>
      <c r="AY77" s="19">
        <f>IF(5 = R77, H77 * -1, H77)</f>
        <v>-0</v>
      </c>
      <c r="AZ77" s="19">
        <f>IF(5 = R77, I77 * -1, I77)</f>
        <v>-0</v>
      </c>
      <c r="BA77" s="19">
        <f>IF(5 = R77, J77 * -1, J77)</f>
        <v>-1566.15</v>
      </c>
      <c r="BB77" s="19">
        <v>0.0</v>
      </c>
      <c r="BC77" s="19">
        <f>IF(5 = R77, K77 * -1, K77)</f>
        <v>-0</v>
      </c>
      <c r="BD77" s="19">
        <v>0.0</v>
      </c>
      <c r="BE77" s="19">
        <f>IF(5 = R77, L77 * -1, L77)</f>
        <v>-0</v>
      </c>
      <c r="BF77" s="19">
        <f>IF(5 = R77, M77 * -1, M77)</f>
        <v>-302.75</v>
      </c>
      <c r="BG77" s="19">
        <f>IF(5 = R77, N77 * -1, N77)</f>
        <v>-172.02</v>
      </c>
      <c r="BH77" s="19">
        <f>IF(5 = R77, O77 * -1, O77)</f>
        <v>-2040.92</v>
      </c>
      <c r="BI77" s="19">
        <f>IF(5 = R77, P77 * -1, P77)</f>
        <v>-474.77</v>
      </c>
    </row>
    <row r="78" spans="1:90">
      <c r="A78" s="9" t="s">
        <v>186</v>
      </c>
      <c r="B78" s="18" t="s">
        <v>187</v>
      </c>
      <c r="C78" s="20">
        <v>0.0</v>
      </c>
      <c r="D78" s="20">
        <v>0.0</v>
      </c>
      <c r="E78" s="20">
        <v>0.0</v>
      </c>
      <c r="F78" s="20">
        <v>0.0</v>
      </c>
      <c r="G78" s="20">
        <v>0.0</v>
      </c>
      <c r="H78" s="20">
        <v>0.0</v>
      </c>
      <c r="I78" s="20">
        <v>0.0</v>
      </c>
      <c r="J78" s="20">
        <v>4875.43</v>
      </c>
      <c r="K78" s="20">
        <v>101.31</v>
      </c>
      <c r="L78" s="20">
        <v>0.0</v>
      </c>
      <c r="M78" s="20">
        <v>325.19</v>
      </c>
      <c r="N78" s="20">
        <v>95.0</v>
      </c>
      <c r="O78" s="20">
        <v>5396.93</v>
      </c>
      <c r="P78" s="20">
        <v>521.5</v>
      </c>
      <c r="R78" s="19">
        <v>5.0</v>
      </c>
      <c r="V78" s="19">
        <v>100017.0</v>
      </c>
      <c r="W78" s="19">
        <v>100128578.0</v>
      </c>
      <c r="X78" s="18" t="s">
        <v>168</v>
      </c>
      <c r="Y78" s="18" t="s">
        <v>168</v>
      </c>
      <c r="Z78" s="18" t="s">
        <v>169</v>
      </c>
      <c r="AA78" s="18" t="s">
        <v>187</v>
      </c>
      <c r="AB78" s="19">
        <v>5650.0</v>
      </c>
      <c r="AC78" s="19">
        <v>1.0</v>
      </c>
      <c r="AD78" s="19">
        <v>6436.0</v>
      </c>
      <c r="AE78" s="19">
        <v>13.0</v>
      </c>
      <c r="AF78" s="18" t="s">
        <v>135</v>
      </c>
      <c r="AG78" s="19">
        <v>5.0</v>
      </c>
      <c r="AH78" s="19">
        <v>-1.0</v>
      </c>
      <c r="AI78" s="19">
        <v>2238.0</v>
      </c>
      <c r="AJ78" s="19">
        <v>5.0</v>
      </c>
      <c r="AK78" s="19">
        <v>0.0</v>
      </c>
      <c r="AL78" s="19">
        <v>0.0</v>
      </c>
      <c r="AM78" s="19">
        <v>0.0</v>
      </c>
      <c r="AN78" s="19">
        <v>0.0</v>
      </c>
      <c r="AO78" s="19">
        <v>0.0</v>
      </c>
      <c r="AP78" s="19">
        <v>0.0</v>
      </c>
      <c r="AQ78" s="19">
        <v>0.0</v>
      </c>
      <c r="AR78" s="19">
        <v>1.0</v>
      </c>
      <c r="AS78" s="19">
        <v>0.0</v>
      </c>
      <c r="AT78" s="19">
        <f>IF(5 = R78, C78 * -1, C78)</f>
        <v>-0</v>
      </c>
      <c r="AU78" s="19">
        <f>IF(5 = R78, D78 * -1, D78)</f>
        <v>-0</v>
      </c>
      <c r="AV78" s="19">
        <f>IF(5 = R78, E78 * -1, E78)</f>
        <v>-0</v>
      </c>
      <c r="AW78" s="19">
        <f>IF(5 = R78, F78 * -1, F78)</f>
        <v>-0</v>
      </c>
      <c r="AX78" s="19">
        <f>IF(5 = R78, G78 * -1, G78)</f>
        <v>-0</v>
      </c>
      <c r="AY78" s="19">
        <f>IF(5 = R78, H78 * -1, H78)</f>
        <v>-0</v>
      </c>
      <c r="AZ78" s="19">
        <f>IF(5 = R78, I78 * -1, I78)</f>
        <v>-0</v>
      </c>
      <c r="BA78" s="19">
        <f>IF(5 = R78, J78 * -1, J78)</f>
        <v>-4875.43</v>
      </c>
      <c r="BB78" s="19">
        <v>-101.31</v>
      </c>
      <c r="BC78" s="19">
        <f>IF(5 = R78, K78 * -1, K78)</f>
        <v>-101.31</v>
      </c>
      <c r="BD78" s="19">
        <v>0.0</v>
      </c>
      <c r="BE78" s="19">
        <f>IF(5 = R78, L78 * -1, L78)</f>
        <v>-0</v>
      </c>
      <c r="BF78" s="19">
        <f>IF(5 = R78, M78 * -1, M78)</f>
        <v>-325.19</v>
      </c>
      <c r="BG78" s="19">
        <f>IF(5 = R78, N78 * -1, N78)</f>
        <v>-95</v>
      </c>
      <c r="BH78" s="19">
        <f>IF(5 = R78, O78 * -1, O78)</f>
        <v>-5396.93</v>
      </c>
      <c r="BI78" s="19">
        <f>IF(5 = R78, P78 * -1, P78)</f>
        <v>-521.5</v>
      </c>
    </row>
    <row r="79" spans="1:90">
      <c r="A79" s="9" t="s">
        <v>188</v>
      </c>
      <c r="B79" s="18" t="s">
        <v>189</v>
      </c>
      <c r="C79" s="20">
        <v>0.0</v>
      </c>
      <c r="D79" s="20">
        <v>0.0</v>
      </c>
      <c r="E79" s="20">
        <v>0.0</v>
      </c>
      <c r="F79" s="20">
        <v>0.0</v>
      </c>
      <c r="G79" s="20">
        <v>0.0</v>
      </c>
      <c r="H79" s="20">
        <v>0.0</v>
      </c>
      <c r="I79" s="20">
        <v>0.0</v>
      </c>
      <c r="J79" s="20">
        <v>13305.14</v>
      </c>
      <c r="K79" s="20">
        <v>0.0</v>
      </c>
      <c r="L79" s="20">
        <v>658.02</v>
      </c>
      <c r="M79" s="20">
        <v>627.27</v>
      </c>
      <c r="N79" s="20">
        <v>608.04</v>
      </c>
      <c r="O79" s="20">
        <v>15198.47</v>
      </c>
      <c r="P79" s="20">
        <v>1893.33</v>
      </c>
      <c r="R79" s="19">
        <v>5.0</v>
      </c>
      <c r="V79" s="19">
        <v>100017.0</v>
      </c>
      <c r="W79" s="19">
        <v>100128578.0</v>
      </c>
      <c r="X79" s="18" t="s">
        <v>168</v>
      </c>
      <c r="Y79" s="18" t="s">
        <v>168</v>
      </c>
      <c r="Z79" s="18" t="s">
        <v>169</v>
      </c>
      <c r="AA79" s="18" t="s">
        <v>189</v>
      </c>
      <c r="AB79" s="19">
        <v>5660.0</v>
      </c>
      <c r="AC79" s="19">
        <v>1.0</v>
      </c>
      <c r="AD79" s="19">
        <v>6437.0</v>
      </c>
      <c r="AE79" s="19">
        <v>14.0</v>
      </c>
      <c r="AF79" s="18" t="s">
        <v>135</v>
      </c>
      <c r="AG79" s="19">
        <v>5.0</v>
      </c>
      <c r="AH79" s="19">
        <v>-1.0</v>
      </c>
      <c r="AI79" s="19">
        <v>2238.0</v>
      </c>
      <c r="AJ79" s="19">
        <v>6.0</v>
      </c>
      <c r="AK79" s="19">
        <v>0.0</v>
      </c>
      <c r="AL79" s="19">
        <v>0.0</v>
      </c>
      <c r="AM79" s="19">
        <v>0.0</v>
      </c>
      <c r="AN79" s="19">
        <v>0.0</v>
      </c>
      <c r="AO79" s="19">
        <v>0.0</v>
      </c>
      <c r="AP79" s="19">
        <v>0.0</v>
      </c>
      <c r="AQ79" s="19">
        <v>658.02</v>
      </c>
      <c r="AR79" s="19">
        <v>1.0</v>
      </c>
      <c r="AS79" s="19">
        <v>0.0</v>
      </c>
      <c r="AT79" s="19">
        <f>IF(5 = R79, C79 * -1, C79)</f>
        <v>-0</v>
      </c>
      <c r="AU79" s="19">
        <f>IF(5 = R79, D79 * -1, D79)</f>
        <v>-0</v>
      </c>
      <c r="AV79" s="19">
        <f>IF(5 = R79, E79 * -1, E79)</f>
        <v>-0</v>
      </c>
      <c r="AW79" s="19">
        <f>IF(5 = R79, F79 * -1, F79)</f>
        <v>-0</v>
      </c>
      <c r="AX79" s="19">
        <f>IF(5 = R79, G79 * -1, G79)</f>
        <v>-0</v>
      </c>
      <c r="AY79" s="19">
        <f>IF(5 = R79, H79 * -1, H79)</f>
        <v>-0</v>
      </c>
      <c r="AZ79" s="19">
        <f>IF(5 = R79, I79 * -1, I79)</f>
        <v>-0</v>
      </c>
      <c r="BA79" s="19">
        <f>IF(5 = R79, J79 * -1, J79)</f>
        <v>-13305.14</v>
      </c>
      <c r="BB79" s="19">
        <v>0.0</v>
      </c>
      <c r="BC79" s="19">
        <f>IF(5 = R79, K79 * -1, K79)</f>
        <v>-0</v>
      </c>
      <c r="BD79" s="19">
        <v>-658.02</v>
      </c>
      <c r="BE79" s="19">
        <f>IF(5 = R79, L79 * -1, L79)</f>
        <v>-658.02</v>
      </c>
      <c r="BF79" s="19">
        <f>IF(5 = R79, M79 * -1, M79)</f>
        <v>-627.27</v>
      </c>
      <c r="BG79" s="19">
        <f>IF(5 = R79, N79 * -1, N79)</f>
        <v>-608.04</v>
      </c>
      <c r="BH79" s="19">
        <f>IF(5 = R79, O79 * -1, O79)</f>
        <v>-15198.47</v>
      </c>
      <c r="BI79" s="19">
        <f>IF(5 = R79, P79 * -1, P79)</f>
        <v>-1893.33</v>
      </c>
    </row>
    <row r="80" spans="1:90">
      <c r="A80" s="9" t="s">
        <v>190</v>
      </c>
      <c r="B80" s="18" t="s">
        <v>191</v>
      </c>
      <c r="C80" s="20">
        <v>0.0</v>
      </c>
      <c r="D80" s="20">
        <v>0.0</v>
      </c>
      <c r="E80" s="20">
        <v>0.0</v>
      </c>
      <c r="F80" s="20">
        <v>0.0</v>
      </c>
      <c r="G80" s="20">
        <v>0.0</v>
      </c>
      <c r="H80" s="20">
        <v>0.0</v>
      </c>
      <c r="I80" s="20">
        <v>0.0</v>
      </c>
      <c r="J80" s="20">
        <v>1265.34</v>
      </c>
      <c r="K80" s="20">
        <v>305.54</v>
      </c>
      <c r="L80" s="20">
        <v>145.5</v>
      </c>
      <c r="M80" s="20">
        <v>62.47</v>
      </c>
      <c r="N80" s="20">
        <v>20.67</v>
      </c>
      <c r="O80" s="20">
        <v>1799.52</v>
      </c>
      <c r="P80" s="20">
        <v>534.18</v>
      </c>
      <c r="R80" s="19">
        <v>5.0</v>
      </c>
      <c r="V80" s="19">
        <v>100017.0</v>
      </c>
      <c r="W80" s="19">
        <v>100128578.0</v>
      </c>
      <c r="X80" s="18" t="s">
        <v>168</v>
      </c>
      <c r="Y80" s="18" t="s">
        <v>168</v>
      </c>
      <c r="Z80" s="18" t="s">
        <v>169</v>
      </c>
      <c r="AA80" s="18" t="s">
        <v>191</v>
      </c>
      <c r="AB80" s="19">
        <v>5670.0</v>
      </c>
      <c r="AC80" s="19">
        <v>1.0</v>
      </c>
      <c r="AD80" s="19">
        <v>6438.0</v>
      </c>
      <c r="AE80" s="19">
        <v>15.0</v>
      </c>
      <c r="AF80" s="18" t="s">
        <v>135</v>
      </c>
      <c r="AG80" s="19">
        <v>5.0</v>
      </c>
      <c r="AH80" s="19">
        <v>-1.0</v>
      </c>
      <c r="AI80" s="19">
        <v>2238.0</v>
      </c>
      <c r="AJ80" s="19">
        <v>6.0</v>
      </c>
      <c r="AK80" s="19">
        <v>0.0</v>
      </c>
      <c r="AL80" s="19">
        <v>0.0</v>
      </c>
      <c r="AM80" s="19">
        <v>0.0</v>
      </c>
      <c r="AN80" s="19">
        <v>0.0</v>
      </c>
      <c r="AO80" s="19">
        <v>0.0</v>
      </c>
      <c r="AP80" s="19">
        <v>0.0</v>
      </c>
      <c r="AQ80" s="19">
        <v>145.5</v>
      </c>
      <c r="AR80" s="19">
        <v>1.0</v>
      </c>
      <c r="AS80" s="19">
        <v>0.0</v>
      </c>
      <c r="AT80" s="19">
        <f>IF(5 = R80, C80 * -1, C80)</f>
        <v>-0</v>
      </c>
      <c r="AU80" s="19">
        <f>IF(5 = R80, D80 * -1, D80)</f>
        <v>-0</v>
      </c>
      <c r="AV80" s="19">
        <f>IF(5 = R80, E80 * -1, E80)</f>
        <v>-0</v>
      </c>
      <c r="AW80" s="19">
        <f>IF(5 = R80, F80 * -1, F80)</f>
        <v>-0</v>
      </c>
      <c r="AX80" s="19">
        <f>IF(5 = R80, G80 * -1, G80)</f>
        <v>-0</v>
      </c>
      <c r="AY80" s="19">
        <f>IF(5 = R80, H80 * -1, H80)</f>
        <v>-0</v>
      </c>
      <c r="AZ80" s="19">
        <f>IF(5 = R80, I80 * -1, I80)</f>
        <v>-0</v>
      </c>
      <c r="BA80" s="19">
        <f>IF(5 = R80, J80 * -1, J80)</f>
        <v>-1265.34</v>
      </c>
      <c r="BB80" s="19">
        <v>-305.54</v>
      </c>
      <c r="BC80" s="19">
        <f>IF(5 = R80, K80 * -1, K80)</f>
        <v>-305.54</v>
      </c>
      <c r="BD80" s="19">
        <v>-145.5</v>
      </c>
      <c r="BE80" s="19">
        <f>IF(5 = R80, L80 * -1, L80)</f>
        <v>-145.5</v>
      </c>
      <c r="BF80" s="19">
        <f>IF(5 = R80, M80 * -1, M80)</f>
        <v>-62.47</v>
      </c>
      <c r="BG80" s="19">
        <f>IF(5 = R80, N80 * -1, N80)</f>
        <v>-20.67</v>
      </c>
      <c r="BH80" s="19">
        <f>IF(5 = R80, O80 * -1, O80)</f>
        <v>-1799.52</v>
      </c>
      <c r="BI80" s="19">
        <f>IF(5 = R80, P80 * -1, P80)</f>
        <v>-534.18</v>
      </c>
    </row>
    <row r="81" spans="1:90">
      <c r="A81" s="9" t="s">
        <v>192</v>
      </c>
      <c r="B81" s="18" t="s">
        <v>193</v>
      </c>
      <c r="C81" s="20">
        <v>0.0</v>
      </c>
      <c r="D81" s="20">
        <v>0.0</v>
      </c>
      <c r="E81" s="20">
        <v>0.0</v>
      </c>
      <c r="F81" s="20">
        <v>0.0</v>
      </c>
      <c r="G81" s="20">
        <v>0.0</v>
      </c>
      <c r="H81" s="20">
        <v>0.0</v>
      </c>
      <c r="I81" s="20">
        <v>0.0</v>
      </c>
      <c r="J81" s="20">
        <v>0.0</v>
      </c>
      <c r="K81" s="20">
        <v>0.0</v>
      </c>
      <c r="L81" s="20">
        <v>105.81</v>
      </c>
      <c r="M81" s="20">
        <v>405.3</v>
      </c>
      <c r="N81" s="20">
        <v>675.0</v>
      </c>
      <c r="O81" s="20">
        <v>1186.11</v>
      </c>
      <c r="P81" s="20">
        <v>1186.11</v>
      </c>
      <c r="R81" s="19">
        <v>5.0</v>
      </c>
      <c r="V81" s="19">
        <v>100017.0</v>
      </c>
      <c r="W81" s="19">
        <v>100128578.0</v>
      </c>
      <c r="X81" s="18" t="s">
        <v>168</v>
      </c>
      <c r="Y81" s="18" t="s">
        <v>168</v>
      </c>
      <c r="Z81" s="18" t="s">
        <v>169</v>
      </c>
      <c r="AA81" s="18" t="s">
        <v>193</v>
      </c>
      <c r="AB81" s="19">
        <v>5680.0</v>
      </c>
      <c r="AC81" s="19">
        <v>1.0</v>
      </c>
      <c r="AD81" s="19">
        <v>6439.0</v>
      </c>
      <c r="AE81" s="19">
        <v>17.0</v>
      </c>
      <c r="AF81" s="18" t="s">
        <v>135</v>
      </c>
      <c r="AG81" s="19">
        <v>5.0</v>
      </c>
      <c r="AH81" s="19">
        <v>-1.0</v>
      </c>
      <c r="AI81" s="19">
        <v>2238.0</v>
      </c>
      <c r="AJ81" s="19">
        <v>3.0</v>
      </c>
      <c r="AK81" s="19">
        <v>0.0</v>
      </c>
      <c r="AL81" s="19">
        <v>0.0</v>
      </c>
      <c r="AM81" s="19">
        <v>0.0</v>
      </c>
      <c r="AN81" s="19">
        <v>0.0</v>
      </c>
      <c r="AO81" s="19">
        <v>0.0</v>
      </c>
      <c r="AP81" s="19">
        <v>0.0</v>
      </c>
      <c r="AQ81" s="19">
        <v>105.81</v>
      </c>
      <c r="AR81" s="19">
        <v>1.0</v>
      </c>
      <c r="AS81" s="19">
        <v>0.0</v>
      </c>
      <c r="AT81" s="19">
        <f>IF(5 = R81, C81 * -1, C81)</f>
        <v>-0</v>
      </c>
      <c r="AU81" s="19">
        <f>IF(5 = R81, D81 * -1, D81)</f>
        <v>-0</v>
      </c>
      <c r="AV81" s="19">
        <f>IF(5 = R81, E81 * -1, E81)</f>
        <v>-0</v>
      </c>
      <c r="AW81" s="19">
        <f>IF(5 = R81, F81 * -1, F81)</f>
        <v>-0</v>
      </c>
      <c r="AX81" s="19">
        <f>IF(5 = R81, G81 * -1, G81)</f>
        <v>-0</v>
      </c>
      <c r="AY81" s="19">
        <f>IF(5 = R81, H81 * -1, H81)</f>
        <v>-0</v>
      </c>
      <c r="AZ81" s="19">
        <f>IF(5 = R81, I81 * -1, I81)</f>
        <v>-0</v>
      </c>
      <c r="BA81" s="19">
        <f>IF(5 = R81, J81 * -1, J81)</f>
        <v>-0</v>
      </c>
      <c r="BB81" s="19">
        <v>0.0</v>
      </c>
      <c r="BC81" s="19">
        <f>IF(5 = R81, K81 * -1, K81)</f>
        <v>-0</v>
      </c>
      <c r="BD81" s="19">
        <v>-105.81</v>
      </c>
      <c r="BE81" s="19">
        <f>IF(5 = R81, L81 * -1, L81)</f>
        <v>-105.81</v>
      </c>
      <c r="BF81" s="19">
        <f>IF(5 = R81, M81 * -1, M81)</f>
        <v>-405.3</v>
      </c>
      <c r="BG81" s="19">
        <f>IF(5 = R81, N81 * -1, N81)</f>
        <v>-675</v>
      </c>
      <c r="BH81" s="19">
        <f>IF(5 = R81, O81 * -1, O81)</f>
        <v>-1186.11</v>
      </c>
      <c r="BI81" s="19">
        <f>IF(5 = R81, P81 * -1, P81)</f>
        <v>-1186.11</v>
      </c>
    </row>
    <row r="82" spans="1:90">
      <c r="B82" s="7" t="s">
        <v>165</v>
      </c>
      <c r="C82" s="12">
        <f>IF(5 = R82, AT82 * -1, AT82)</f>
        <v>-0</v>
      </c>
      <c r="D82" s="12">
        <f>IF(5 = R82, AU82 * -1, AU82)</f>
        <v>-0</v>
      </c>
      <c r="E82" s="12">
        <f>IF(5 = R82, AV82 * -1, AV82)</f>
        <v>-0</v>
      </c>
      <c r="F82" s="12">
        <f>IF(5 = R82, AW82 * -1, AW82)</f>
        <v>-0</v>
      </c>
      <c r="G82" s="12">
        <f>IF(5 = R82, AX82 * -1, AX82)</f>
        <v>-0</v>
      </c>
      <c r="H82" s="12">
        <f>IF(5 = R82, AY82 * -1, AY82)</f>
        <v>-0</v>
      </c>
      <c r="I82" s="12">
        <f>IF(5 = R82, AZ82 * -1, AZ82)</f>
        <v>-0</v>
      </c>
      <c r="J82" s="12">
        <f>IF(5 = R82, BA82 * -1, BA82)</f>
        <v>117172.43</v>
      </c>
      <c r="K82" s="12">
        <f>IF(5 = R82, BC82 * -1, BC82)</f>
        <v>1947.99</v>
      </c>
      <c r="L82" s="12">
        <f>IF(5 = R82, BE82 * -1, BE82)</f>
        <v>2333.39</v>
      </c>
      <c r="M82" s="12">
        <f>IF(5 = R82, BF82 * -1, BF82)</f>
        <v>6373.95</v>
      </c>
      <c r="N82" s="12">
        <f>IF(5 = R82, BG82 * -1, BG82)</f>
        <v>6350.14</v>
      </c>
      <c r="O82" s="12">
        <f>IF(5 = R82, BH82 * -1, BH82)</f>
        <v>134177.9</v>
      </c>
      <c r="P82" s="12">
        <f>IF(5 = R82, BI82 * -1, BI82)</f>
        <v>17005.47</v>
      </c>
      <c r="R82" s="11">
        <v>5</v>
      </c>
      <c r="S82" s="13">
        <f>S81</f>
        <v>0</v>
      </c>
      <c r="T82" s="13">
        <f>T81</f>
        <v>0</v>
      </c>
      <c r="U82" s="11">
        <f>U81</f>
        <v>0</v>
      </c>
      <c r="V82" s="19"/>
      <c r="W82" s="19"/>
      <c r="X82" s="18"/>
      <c r="Y82" s="18"/>
      <c r="Z82" s="18"/>
      <c r="AA82" s="18"/>
      <c r="AB82" s="19"/>
      <c r="AC82" s="19"/>
      <c r="AD82" s="19"/>
      <c r="AE82" s="19"/>
      <c r="AF82" s="18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1">
        <f>SUM(AT69:AT81)</f>
        <v>0</v>
      </c>
      <c r="AU82" s="11">
        <f>SUM(AU69:AU81)</f>
        <v>0</v>
      </c>
      <c r="AV82" s="11">
        <f>SUM(AV69:AV81)</f>
        <v>0</v>
      </c>
      <c r="AW82" s="11">
        <f>SUM(AW69:AW81)</f>
        <v>0</v>
      </c>
      <c r="AX82" s="11">
        <f>SUM(AX69:AX81)</f>
        <v>0</v>
      </c>
      <c r="AY82" s="11">
        <f>SUM(AY69:AY81)</f>
        <v>0</v>
      </c>
      <c r="AZ82" s="11">
        <f>SUM(AZ69:AZ81)</f>
        <v>0</v>
      </c>
      <c r="BA82" s="11">
        <f>SUM(BA69:BA81)</f>
        <v>-117172.43</v>
      </c>
      <c r="BB82" s="19"/>
      <c r="BC82" s="11">
        <f>SUM(BC69:BC81)</f>
        <v>-1947.99</v>
      </c>
      <c r="BD82" s="19"/>
      <c r="BE82" s="11">
        <f>SUM(BE69:BE81)</f>
        <v>-2333.39</v>
      </c>
      <c r="BF82" s="11">
        <f>SUM(BF69:BF81)</f>
        <v>-6373.95</v>
      </c>
      <c r="BG82" s="11">
        <f>SUM(BG69:BG81)</f>
        <v>-6350.14</v>
      </c>
      <c r="BH82" s="11">
        <f>SUM(BH69:BH81)</f>
        <v>-134177.9</v>
      </c>
      <c r="BI82" s="11">
        <f>SUM(BI69:BI81)</f>
        <v>-17005.47</v>
      </c>
    </row>
    <row r="83" spans="1:90">
      <c r="B83" s="18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R83" s="19"/>
      <c r="V83" s="19"/>
      <c r="W83" s="19"/>
      <c r="X83" s="18"/>
      <c r="Y83" s="18"/>
      <c r="Z83" s="18"/>
      <c r="AA83" s="18"/>
      <c r="AB83" s="19"/>
      <c r="AC83" s="19"/>
      <c r="AD83" s="19"/>
      <c r="AE83" s="19"/>
      <c r="AF83" s="18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</row>
    <row r="84" spans="1:90">
      <c r="A84" s="8" t="s">
        <v>194</v>
      </c>
      <c r="B84" s="18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R84" s="19"/>
      <c r="V84" s="19"/>
      <c r="W84" s="19"/>
      <c r="X84" s="18"/>
      <c r="Y84" s="18"/>
      <c r="Z84" s="18"/>
      <c r="AA84" s="18"/>
      <c r="AB84" s="19"/>
      <c r="AC84" s="19"/>
      <c r="AD84" s="19"/>
      <c r="AE84" s="19"/>
      <c r="AF84" s="18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</row>
    <row r="85" spans="1:90">
      <c r="A85" s="9" t="s">
        <v>195</v>
      </c>
      <c r="B85" s="18" t="s">
        <v>196</v>
      </c>
      <c r="C85" s="20">
        <v>0.0</v>
      </c>
      <c r="D85" s="20">
        <v>0.0</v>
      </c>
      <c r="E85" s="20">
        <v>0.0</v>
      </c>
      <c r="F85" s="20">
        <v>0.0</v>
      </c>
      <c r="G85" s="20">
        <v>0.0</v>
      </c>
      <c r="H85" s="20">
        <v>0.0</v>
      </c>
      <c r="I85" s="20">
        <v>0.0</v>
      </c>
      <c r="J85" s="20">
        <v>0.0</v>
      </c>
      <c r="K85" s="20">
        <v>0.0</v>
      </c>
      <c r="L85" s="20">
        <v>0.0</v>
      </c>
      <c r="M85" s="20">
        <v>0.0</v>
      </c>
      <c r="N85" s="20">
        <v>576.0</v>
      </c>
      <c r="O85" s="20">
        <v>576.0</v>
      </c>
      <c r="P85" s="20">
        <v>576.0</v>
      </c>
      <c r="R85" s="19">
        <v>5.0</v>
      </c>
      <c r="V85" s="19">
        <v>100017.0</v>
      </c>
      <c r="W85" s="19">
        <v>100128578.0</v>
      </c>
      <c r="X85" s="18" t="s">
        <v>197</v>
      </c>
      <c r="Y85" s="18" t="s">
        <v>197</v>
      </c>
      <c r="Z85" s="18" t="s">
        <v>198</v>
      </c>
      <c r="AA85" s="18" t="s">
        <v>196</v>
      </c>
      <c r="AB85" s="19">
        <v>5820.0</v>
      </c>
      <c r="AC85" s="19">
        <v>1.0</v>
      </c>
      <c r="AD85" s="19">
        <v>6444.0</v>
      </c>
      <c r="AE85" s="19">
        <v>1.0</v>
      </c>
      <c r="AF85" s="18" t="s">
        <v>135</v>
      </c>
      <c r="AG85" s="19">
        <v>5.0</v>
      </c>
      <c r="AH85" s="19">
        <v>-1.0</v>
      </c>
      <c r="AI85" s="19">
        <v>2239.0</v>
      </c>
      <c r="AJ85" s="19">
        <v>3.0</v>
      </c>
      <c r="AK85" s="19">
        <v>0.0</v>
      </c>
      <c r="AL85" s="19">
        <v>0.0</v>
      </c>
      <c r="AM85" s="19">
        <v>0.0</v>
      </c>
      <c r="AN85" s="19">
        <v>0.0</v>
      </c>
      <c r="AO85" s="19">
        <v>0.0</v>
      </c>
      <c r="AP85" s="19">
        <v>0.0</v>
      </c>
      <c r="AQ85" s="19">
        <v>0.0</v>
      </c>
      <c r="AR85" s="19">
        <v>1.0</v>
      </c>
      <c r="AS85" s="19">
        <v>0.0</v>
      </c>
      <c r="AT85" s="19">
        <f>IF(5 = R85, C85 * -1, C85)</f>
        <v>-0</v>
      </c>
      <c r="AU85" s="19">
        <f>IF(5 = R85, D85 * -1, D85)</f>
        <v>-0</v>
      </c>
      <c r="AV85" s="19">
        <f>IF(5 = R85, E85 * -1, E85)</f>
        <v>-0</v>
      </c>
      <c r="AW85" s="19">
        <f>IF(5 = R85, F85 * -1, F85)</f>
        <v>-0</v>
      </c>
      <c r="AX85" s="19">
        <f>IF(5 = R85, G85 * -1, G85)</f>
        <v>-0</v>
      </c>
      <c r="AY85" s="19">
        <f>IF(5 = R85, H85 * -1, H85)</f>
        <v>-0</v>
      </c>
      <c r="AZ85" s="19">
        <f>IF(5 = R85, I85 * -1, I85)</f>
        <v>-0</v>
      </c>
      <c r="BA85" s="19">
        <f>IF(5 = R85, J85 * -1, J85)</f>
        <v>-0</v>
      </c>
      <c r="BB85" s="19">
        <v>0.0</v>
      </c>
      <c r="BC85" s="19">
        <f>IF(5 = R85, K85 * -1, K85)</f>
        <v>-0</v>
      </c>
      <c r="BD85" s="19">
        <v>0.0</v>
      </c>
      <c r="BE85" s="19">
        <f>IF(5 = R85, L85 * -1, L85)</f>
        <v>-0</v>
      </c>
      <c r="BF85" s="19">
        <f>IF(5 = R85, M85 * -1, M85)</f>
        <v>-0</v>
      </c>
      <c r="BG85" s="19">
        <f>IF(5 = R85, N85 * -1, N85)</f>
        <v>-576</v>
      </c>
      <c r="BH85" s="19">
        <f>IF(5 = R85, O85 * -1, O85)</f>
        <v>-576</v>
      </c>
      <c r="BI85" s="19">
        <f>IF(5 = R85, P85 * -1, P85)</f>
        <v>-576</v>
      </c>
    </row>
    <row r="86" spans="1:90">
      <c r="A86" s="9" t="s">
        <v>199</v>
      </c>
      <c r="B86" s="18" t="s">
        <v>200</v>
      </c>
      <c r="C86" s="20">
        <v>0.0</v>
      </c>
      <c r="D86" s="20">
        <v>0.0</v>
      </c>
      <c r="E86" s="20">
        <v>0.0</v>
      </c>
      <c r="F86" s="20">
        <v>0.0</v>
      </c>
      <c r="G86" s="20">
        <v>0.0</v>
      </c>
      <c r="H86" s="20">
        <v>0.0</v>
      </c>
      <c r="I86" s="20">
        <v>0.0</v>
      </c>
      <c r="J86" s="20">
        <v>0.0</v>
      </c>
      <c r="K86" s="20">
        <v>1658.18</v>
      </c>
      <c r="L86" s="20">
        <v>0.0</v>
      </c>
      <c r="M86" s="20">
        <v>0.0</v>
      </c>
      <c r="N86" s="20">
        <v>1521.38</v>
      </c>
      <c r="O86" s="20">
        <v>3179.56</v>
      </c>
      <c r="P86" s="20">
        <v>3179.56</v>
      </c>
      <c r="R86" s="19">
        <v>5.0</v>
      </c>
      <c r="V86" s="19">
        <v>100017.0</v>
      </c>
      <c r="W86" s="19">
        <v>100128578.0</v>
      </c>
      <c r="X86" s="18" t="s">
        <v>197</v>
      </c>
      <c r="Y86" s="18" t="s">
        <v>197</v>
      </c>
      <c r="Z86" s="18" t="s">
        <v>198</v>
      </c>
      <c r="AA86" s="18" t="s">
        <v>200</v>
      </c>
      <c r="AB86" s="19">
        <v>5830.0</v>
      </c>
      <c r="AC86" s="19">
        <v>1.0</v>
      </c>
      <c r="AD86" s="19">
        <v>6445.0</v>
      </c>
      <c r="AE86" s="19">
        <v>2.0</v>
      </c>
      <c r="AF86" s="18" t="s">
        <v>135</v>
      </c>
      <c r="AG86" s="19">
        <v>5.0</v>
      </c>
      <c r="AH86" s="19">
        <v>-1.0</v>
      </c>
      <c r="AI86" s="19">
        <v>2239.0</v>
      </c>
      <c r="AJ86" s="19">
        <v>2.0</v>
      </c>
      <c r="AK86" s="19">
        <v>0.0</v>
      </c>
      <c r="AL86" s="19">
        <v>0.0</v>
      </c>
      <c r="AM86" s="19">
        <v>0.0</v>
      </c>
      <c r="AN86" s="19">
        <v>0.0</v>
      </c>
      <c r="AO86" s="19">
        <v>0.0</v>
      </c>
      <c r="AP86" s="19">
        <v>0.0</v>
      </c>
      <c r="AQ86" s="19">
        <v>0.0</v>
      </c>
      <c r="AR86" s="19">
        <v>1.0</v>
      </c>
      <c r="AS86" s="19">
        <v>0.0</v>
      </c>
      <c r="AT86" s="19">
        <f>IF(5 = R86, C86 * -1, C86)</f>
        <v>-0</v>
      </c>
      <c r="AU86" s="19">
        <f>IF(5 = R86, D86 * -1, D86)</f>
        <v>-0</v>
      </c>
      <c r="AV86" s="19">
        <f>IF(5 = R86, E86 * -1, E86)</f>
        <v>-0</v>
      </c>
      <c r="AW86" s="19">
        <f>IF(5 = R86, F86 * -1, F86)</f>
        <v>-0</v>
      </c>
      <c r="AX86" s="19">
        <f>IF(5 = R86, G86 * -1, G86)</f>
        <v>-0</v>
      </c>
      <c r="AY86" s="19">
        <f>IF(5 = R86, H86 * -1, H86)</f>
        <v>-0</v>
      </c>
      <c r="AZ86" s="19">
        <f>IF(5 = R86, I86 * -1, I86)</f>
        <v>-0</v>
      </c>
      <c r="BA86" s="19">
        <f>IF(5 = R86, J86 * -1, J86)</f>
        <v>-0</v>
      </c>
      <c r="BB86" s="19">
        <v>-1658.18</v>
      </c>
      <c r="BC86" s="19">
        <f>IF(5 = R86, K86 * -1, K86)</f>
        <v>-1658.18</v>
      </c>
      <c r="BD86" s="19">
        <v>0.0</v>
      </c>
      <c r="BE86" s="19">
        <f>IF(5 = R86, L86 * -1, L86)</f>
        <v>-0</v>
      </c>
      <c r="BF86" s="19">
        <f>IF(5 = R86, M86 * -1, M86)</f>
        <v>-0</v>
      </c>
      <c r="BG86" s="19">
        <f>IF(5 = R86, N86 * -1, N86)</f>
        <v>-1521.38</v>
      </c>
      <c r="BH86" s="19">
        <f>IF(5 = R86, O86 * -1, O86)</f>
        <v>-3179.56</v>
      </c>
      <c r="BI86" s="19">
        <f>IF(5 = R86, P86 * -1, P86)</f>
        <v>-3179.56</v>
      </c>
    </row>
    <row r="87" spans="1:90">
      <c r="A87" s="9" t="s">
        <v>201</v>
      </c>
      <c r="B87" s="18" t="s">
        <v>202</v>
      </c>
      <c r="C87" s="20">
        <v>0.0</v>
      </c>
      <c r="D87" s="20">
        <v>0.0</v>
      </c>
      <c r="E87" s="20">
        <v>0.0</v>
      </c>
      <c r="F87" s="20">
        <v>0.0</v>
      </c>
      <c r="G87" s="20">
        <v>0.0</v>
      </c>
      <c r="H87" s="20">
        <v>0.0</v>
      </c>
      <c r="I87" s="20">
        <v>0.0</v>
      </c>
      <c r="J87" s="20">
        <v>22023.14</v>
      </c>
      <c r="K87" s="20">
        <v>1658.0</v>
      </c>
      <c r="L87" s="20">
        <v>0.0</v>
      </c>
      <c r="M87" s="20">
        <v>1630.29</v>
      </c>
      <c r="N87" s="20">
        <v>951.0</v>
      </c>
      <c r="O87" s="20">
        <v>26262.43</v>
      </c>
      <c r="P87" s="20">
        <v>4239.29</v>
      </c>
      <c r="R87" s="19">
        <v>5.0</v>
      </c>
      <c r="V87" s="19">
        <v>100017.0</v>
      </c>
      <c r="W87" s="19">
        <v>100128578.0</v>
      </c>
      <c r="X87" s="18" t="s">
        <v>197</v>
      </c>
      <c r="Y87" s="18" t="s">
        <v>197</v>
      </c>
      <c r="Z87" s="18" t="s">
        <v>198</v>
      </c>
      <c r="AA87" s="18" t="s">
        <v>202</v>
      </c>
      <c r="AB87" s="19">
        <v>5840.0</v>
      </c>
      <c r="AC87" s="19">
        <v>1.0</v>
      </c>
      <c r="AD87" s="19">
        <v>6446.0</v>
      </c>
      <c r="AE87" s="19">
        <v>3.0</v>
      </c>
      <c r="AF87" s="18" t="s">
        <v>135</v>
      </c>
      <c r="AG87" s="19">
        <v>5.0</v>
      </c>
      <c r="AH87" s="19">
        <v>-1.0</v>
      </c>
      <c r="AI87" s="19">
        <v>2239.0</v>
      </c>
      <c r="AJ87" s="19">
        <v>5.0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1.0</v>
      </c>
      <c r="AS87" s="19">
        <v>0.0</v>
      </c>
      <c r="AT87" s="19">
        <f>IF(5 = R87, C87 * -1, C87)</f>
        <v>-0</v>
      </c>
      <c r="AU87" s="19">
        <f>IF(5 = R87, D87 * -1, D87)</f>
        <v>-0</v>
      </c>
      <c r="AV87" s="19">
        <f>IF(5 = R87, E87 * -1, E87)</f>
        <v>-0</v>
      </c>
      <c r="AW87" s="19">
        <f>IF(5 = R87, F87 * -1, F87)</f>
        <v>-0</v>
      </c>
      <c r="AX87" s="19">
        <f>IF(5 = R87, G87 * -1, G87)</f>
        <v>-0</v>
      </c>
      <c r="AY87" s="19">
        <f>IF(5 = R87, H87 * -1, H87)</f>
        <v>-0</v>
      </c>
      <c r="AZ87" s="19">
        <f>IF(5 = R87, I87 * -1, I87)</f>
        <v>-0</v>
      </c>
      <c r="BA87" s="19">
        <f>IF(5 = R87, J87 * -1, J87)</f>
        <v>-22023.14</v>
      </c>
      <c r="BB87" s="19">
        <v>-1658.0</v>
      </c>
      <c r="BC87" s="19">
        <f>IF(5 = R87, K87 * -1, K87)</f>
        <v>-1658</v>
      </c>
      <c r="BD87" s="19">
        <v>0.0</v>
      </c>
      <c r="BE87" s="19">
        <f>IF(5 = R87, L87 * -1, L87)</f>
        <v>-0</v>
      </c>
      <c r="BF87" s="19">
        <f>IF(5 = R87, M87 * -1, M87)</f>
        <v>-1630.29</v>
      </c>
      <c r="BG87" s="19">
        <f>IF(5 = R87, N87 * -1, N87)</f>
        <v>-951</v>
      </c>
      <c r="BH87" s="19">
        <f>IF(5 = R87, O87 * -1, O87)</f>
        <v>-26262.43</v>
      </c>
      <c r="BI87" s="19">
        <f>IF(5 = R87, P87 * -1, P87)</f>
        <v>-4239.29</v>
      </c>
    </row>
    <row r="88" spans="1:90">
      <c r="A88" s="9" t="s">
        <v>203</v>
      </c>
      <c r="B88" s="18" t="s">
        <v>204</v>
      </c>
      <c r="C88" s="20">
        <v>0.0</v>
      </c>
      <c r="D88" s="20">
        <v>0.0</v>
      </c>
      <c r="E88" s="20">
        <v>0.0</v>
      </c>
      <c r="F88" s="20">
        <v>0.0</v>
      </c>
      <c r="G88" s="20">
        <v>0.0</v>
      </c>
      <c r="H88" s="20">
        <v>0.0</v>
      </c>
      <c r="I88" s="20">
        <v>0.0</v>
      </c>
      <c r="J88" s="20">
        <v>5926.68</v>
      </c>
      <c r="K88" s="20">
        <v>526.64</v>
      </c>
      <c r="L88" s="20">
        <v>0.0</v>
      </c>
      <c r="M88" s="20">
        <v>937.71</v>
      </c>
      <c r="N88" s="20">
        <v>0.0</v>
      </c>
      <c r="O88" s="20">
        <v>7391.03</v>
      </c>
      <c r="P88" s="20">
        <v>1464.35</v>
      </c>
      <c r="R88" s="19">
        <v>5.0</v>
      </c>
      <c r="V88" s="19">
        <v>100017.0</v>
      </c>
      <c r="W88" s="19">
        <v>100128578.0</v>
      </c>
      <c r="X88" s="18" t="s">
        <v>197</v>
      </c>
      <c r="Y88" s="18" t="s">
        <v>197</v>
      </c>
      <c r="Z88" s="18" t="s">
        <v>198</v>
      </c>
      <c r="AA88" s="18" t="s">
        <v>204</v>
      </c>
      <c r="AB88" s="19">
        <v>5850.0</v>
      </c>
      <c r="AC88" s="19">
        <v>1.0</v>
      </c>
      <c r="AD88" s="19">
        <v>6447.0</v>
      </c>
      <c r="AE88" s="19">
        <v>4.0</v>
      </c>
      <c r="AF88" s="18" t="s">
        <v>135</v>
      </c>
      <c r="AG88" s="19">
        <v>5.0</v>
      </c>
      <c r="AH88" s="19">
        <v>-1.0</v>
      </c>
      <c r="AI88" s="19">
        <v>2239.0</v>
      </c>
      <c r="AJ88" s="19">
        <v>4.0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f>IF(5 = R88, C88 * -1, C88)</f>
        <v>-0</v>
      </c>
      <c r="AU88" s="19">
        <f>IF(5 = R88, D88 * -1, D88)</f>
        <v>-0</v>
      </c>
      <c r="AV88" s="19">
        <f>IF(5 = R88, E88 * -1, E88)</f>
        <v>-0</v>
      </c>
      <c r="AW88" s="19">
        <f>IF(5 = R88, F88 * -1, F88)</f>
        <v>-0</v>
      </c>
      <c r="AX88" s="19">
        <f>IF(5 = R88, G88 * -1, G88)</f>
        <v>-0</v>
      </c>
      <c r="AY88" s="19">
        <f>IF(5 = R88, H88 * -1, H88)</f>
        <v>-0</v>
      </c>
      <c r="AZ88" s="19">
        <f>IF(5 = R88, I88 * -1, I88)</f>
        <v>-0</v>
      </c>
      <c r="BA88" s="19">
        <f>IF(5 = R88, J88 * -1, J88)</f>
        <v>-5926.68</v>
      </c>
      <c r="BB88" s="19">
        <v>-526.64</v>
      </c>
      <c r="BC88" s="19">
        <f>IF(5 = R88, K88 * -1, K88)</f>
        <v>-526.64</v>
      </c>
      <c r="BD88" s="19">
        <v>0.0</v>
      </c>
      <c r="BE88" s="19">
        <f>IF(5 = R88, L88 * -1, L88)</f>
        <v>-0</v>
      </c>
      <c r="BF88" s="19">
        <f>IF(5 = R88, M88 * -1, M88)</f>
        <v>-937.71</v>
      </c>
      <c r="BG88" s="19">
        <f>IF(5 = R88, N88 * -1, N88)</f>
        <v>-0</v>
      </c>
      <c r="BH88" s="19">
        <f>IF(5 = R88, O88 * -1, O88)</f>
        <v>-7391.03</v>
      </c>
      <c r="BI88" s="19">
        <f>IF(5 = R88, P88 * -1, P88)</f>
        <v>-1464.35</v>
      </c>
    </row>
    <row r="89" spans="1:90">
      <c r="A89" s="9" t="s">
        <v>205</v>
      </c>
      <c r="B89" s="18" t="s">
        <v>206</v>
      </c>
      <c r="C89" s="20">
        <v>0.0</v>
      </c>
      <c r="D89" s="20">
        <v>0.0</v>
      </c>
      <c r="E89" s="20">
        <v>0.0</v>
      </c>
      <c r="F89" s="20">
        <v>0.0</v>
      </c>
      <c r="G89" s="20">
        <v>0.0</v>
      </c>
      <c r="H89" s="20">
        <v>0.0</v>
      </c>
      <c r="I89" s="20">
        <v>0.0</v>
      </c>
      <c r="J89" s="20">
        <v>31673.0</v>
      </c>
      <c r="K89" s="20">
        <v>0.0</v>
      </c>
      <c r="L89" s="20">
        <v>0.0</v>
      </c>
      <c r="M89" s="20">
        <v>180.29</v>
      </c>
      <c r="N89" s="20">
        <v>243.0</v>
      </c>
      <c r="O89" s="20">
        <v>32096.29</v>
      </c>
      <c r="P89" s="20">
        <v>423.29</v>
      </c>
      <c r="R89" s="19">
        <v>5.0</v>
      </c>
      <c r="V89" s="19">
        <v>100017.0</v>
      </c>
      <c r="W89" s="19">
        <v>100128578.0</v>
      </c>
      <c r="X89" s="18" t="s">
        <v>197</v>
      </c>
      <c r="Y89" s="18" t="s">
        <v>197</v>
      </c>
      <c r="Z89" s="18" t="s">
        <v>198</v>
      </c>
      <c r="AA89" s="18" t="s">
        <v>206</v>
      </c>
      <c r="AB89" s="19">
        <v>5860.0</v>
      </c>
      <c r="AC89" s="19">
        <v>1.0</v>
      </c>
      <c r="AD89" s="19">
        <v>6448.0</v>
      </c>
      <c r="AE89" s="19">
        <v>5.0</v>
      </c>
      <c r="AF89" s="18" t="s">
        <v>135</v>
      </c>
      <c r="AG89" s="19">
        <v>5.0</v>
      </c>
      <c r="AH89" s="19">
        <v>-1.0</v>
      </c>
      <c r="AI89" s="19">
        <v>2239.0</v>
      </c>
      <c r="AJ89" s="19">
        <v>3.0</v>
      </c>
      <c r="AK89" s="19">
        <v>0.0</v>
      </c>
      <c r="AL89" s="19">
        <v>0.0</v>
      </c>
      <c r="AM89" s="19">
        <v>0.0</v>
      </c>
      <c r="AN89" s="19">
        <v>0.0</v>
      </c>
      <c r="AO89" s="19">
        <v>0.0</v>
      </c>
      <c r="AP89" s="19">
        <v>0.0</v>
      </c>
      <c r="AQ89" s="19">
        <v>0.0</v>
      </c>
      <c r="AR89" s="19">
        <v>1.0</v>
      </c>
      <c r="AS89" s="19">
        <v>0.0</v>
      </c>
      <c r="AT89" s="19">
        <f>IF(5 = R89, C89 * -1, C89)</f>
        <v>-0</v>
      </c>
      <c r="AU89" s="19">
        <f>IF(5 = R89, D89 * -1, D89)</f>
        <v>-0</v>
      </c>
      <c r="AV89" s="19">
        <f>IF(5 = R89, E89 * -1, E89)</f>
        <v>-0</v>
      </c>
      <c r="AW89" s="19">
        <f>IF(5 = R89, F89 * -1, F89)</f>
        <v>-0</v>
      </c>
      <c r="AX89" s="19">
        <f>IF(5 = R89, G89 * -1, G89)</f>
        <v>-0</v>
      </c>
      <c r="AY89" s="19">
        <f>IF(5 = R89, H89 * -1, H89)</f>
        <v>-0</v>
      </c>
      <c r="AZ89" s="19">
        <f>IF(5 = R89, I89 * -1, I89)</f>
        <v>-0</v>
      </c>
      <c r="BA89" s="19">
        <f>IF(5 = R89, J89 * -1, J89)</f>
        <v>-31673</v>
      </c>
      <c r="BB89" s="19">
        <v>0.0</v>
      </c>
      <c r="BC89" s="19">
        <f>IF(5 = R89, K89 * -1, K89)</f>
        <v>-0</v>
      </c>
      <c r="BD89" s="19">
        <v>0.0</v>
      </c>
      <c r="BE89" s="19">
        <f>IF(5 = R89, L89 * -1, L89)</f>
        <v>-0</v>
      </c>
      <c r="BF89" s="19">
        <f>IF(5 = R89, M89 * -1, M89)</f>
        <v>-180.29</v>
      </c>
      <c r="BG89" s="19">
        <f>IF(5 = R89, N89 * -1, N89)</f>
        <v>-243</v>
      </c>
      <c r="BH89" s="19">
        <f>IF(5 = R89, O89 * -1, O89)</f>
        <v>-32096.29</v>
      </c>
      <c r="BI89" s="19">
        <f>IF(5 = R89, P89 * -1, P89)</f>
        <v>-423.29</v>
      </c>
    </row>
    <row r="90" spans="1:90">
      <c r="A90" s="9" t="s">
        <v>207</v>
      </c>
      <c r="B90" s="18" t="s">
        <v>208</v>
      </c>
      <c r="C90" s="20">
        <v>0.0</v>
      </c>
      <c r="D90" s="20">
        <v>0.0</v>
      </c>
      <c r="E90" s="20">
        <v>0.0</v>
      </c>
      <c r="F90" s="20">
        <v>0.0</v>
      </c>
      <c r="G90" s="20">
        <v>0.0</v>
      </c>
      <c r="H90" s="20">
        <v>0.0</v>
      </c>
      <c r="I90" s="20">
        <v>0.0</v>
      </c>
      <c r="J90" s="20">
        <v>4104.93</v>
      </c>
      <c r="K90" s="20">
        <v>0.0</v>
      </c>
      <c r="L90" s="20">
        <v>0.0</v>
      </c>
      <c r="M90" s="20">
        <v>0.0</v>
      </c>
      <c r="N90" s="20">
        <v>0.0</v>
      </c>
      <c r="O90" s="20">
        <v>4104.93</v>
      </c>
      <c r="P90" s="20">
        <v>0.0</v>
      </c>
      <c r="R90" s="19">
        <v>5.0</v>
      </c>
      <c r="V90" s="19">
        <v>100017.0</v>
      </c>
      <c r="W90" s="19">
        <v>100128578.0</v>
      </c>
      <c r="X90" s="18" t="s">
        <v>197</v>
      </c>
      <c r="Y90" s="18" t="s">
        <v>197</v>
      </c>
      <c r="Z90" s="18" t="s">
        <v>198</v>
      </c>
      <c r="AA90" s="18" t="s">
        <v>208</v>
      </c>
      <c r="AB90" s="19">
        <v>5960.0</v>
      </c>
      <c r="AC90" s="19">
        <v>1.0</v>
      </c>
      <c r="AD90" s="19">
        <v>6454.0</v>
      </c>
      <c r="AE90" s="19">
        <v>10.0</v>
      </c>
      <c r="AF90" s="18" t="s">
        <v>135</v>
      </c>
      <c r="AG90" s="19">
        <v>5.0</v>
      </c>
      <c r="AH90" s="19">
        <v>-1.0</v>
      </c>
      <c r="AI90" s="19">
        <v>2239.0</v>
      </c>
      <c r="AJ90" s="19">
        <v>1.0</v>
      </c>
      <c r="AK90" s="19">
        <v>0.0</v>
      </c>
      <c r="AL90" s="19">
        <v>0.0</v>
      </c>
      <c r="AM90" s="19">
        <v>0.0</v>
      </c>
      <c r="AN90" s="19">
        <v>0.0</v>
      </c>
      <c r="AO90" s="19">
        <v>0.0</v>
      </c>
      <c r="AP90" s="19">
        <v>0.0</v>
      </c>
      <c r="AQ90" s="19">
        <v>0.0</v>
      </c>
      <c r="AR90" s="19">
        <v>0.0</v>
      </c>
      <c r="AS90" s="19">
        <v>0.0</v>
      </c>
      <c r="AT90" s="19">
        <f>IF(5 = R90, C90 * -1, C90)</f>
        <v>-0</v>
      </c>
      <c r="AU90" s="19">
        <f>IF(5 = R90, D90 * -1, D90)</f>
        <v>-0</v>
      </c>
      <c r="AV90" s="19">
        <f>IF(5 = R90, E90 * -1, E90)</f>
        <v>-0</v>
      </c>
      <c r="AW90" s="19">
        <f>IF(5 = R90, F90 * -1, F90)</f>
        <v>-0</v>
      </c>
      <c r="AX90" s="19">
        <f>IF(5 = R90, G90 * -1, G90)</f>
        <v>-0</v>
      </c>
      <c r="AY90" s="19">
        <f>IF(5 = R90, H90 * -1, H90)</f>
        <v>-0</v>
      </c>
      <c r="AZ90" s="19">
        <f>IF(5 = R90, I90 * -1, I90)</f>
        <v>-0</v>
      </c>
      <c r="BA90" s="19">
        <f>IF(5 = R90, J90 * -1, J90)</f>
        <v>-4104.93</v>
      </c>
      <c r="BB90" s="19">
        <v>0.0</v>
      </c>
      <c r="BC90" s="19">
        <f>IF(5 = R90, K90 * -1, K90)</f>
        <v>-0</v>
      </c>
      <c r="BD90" s="19">
        <v>0.0</v>
      </c>
      <c r="BE90" s="19">
        <f>IF(5 = R90, L90 * -1, L90)</f>
        <v>-0</v>
      </c>
      <c r="BF90" s="19">
        <f>IF(5 = R90, M90 * -1, M90)</f>
        <v>-0</v>
      </c>
      <c r="BG90" s="19">
        <f>IF(5 = R90, N90 * -1, N90)</f>
        <v>-0</v>
      </c>
      <c r="BH90" s="19">
        <f>IF(5 = R90, O90 * -1, O90)</f>
        <v>-4104.93</v>
      </c>
      <c r="BI90" s="19">
        <f>IF(5 = R90, P90 * -1, P90)</f>
        <v>-0</v>
      </c>
    </row>
    <row r="91" spans="1:90">
      <c r="B91" s="7" t="s">
        <v>194</v>
      </c>
      <c r="C91" s="12">
        <f>IF(5 = R91, AT91 * -1, AT91)</f>
        <v>-0</v>
      </c>
      <c r="D91" s="12">
        <f>IF(5 = R91, AU91 * -1, AU91)</f>
        <v>-0</v>
      </c>
      <c r="E91" s="12">
        <f>IF(5 = R91, AV91 * -1, AV91)</f>
        <v>-0</v>
      </c>
      <c r="F91" s="12">
        <f>IF(5 = R91, AW91 * -1, AW91)</f>
        <v>-0</v>
      </c>
      <c r="G91" s="12">
        <f>IF(5 = R91, AX91 * -1, AX91)</f>
        <v>-0</v>
      </c>
      <c r="H91" s="12">
        <f>IF(5 = R91, AY91 * -1, AY91)</f>
        <v>-0</v>
      </c>
      <c r="I91" s="12">
        <f>IF(5 = R91, AZ91 * -1, AZ91)</f>
        <v>-0</v>
      </c>
      <c r="J91" s="12">
        <f>IF(5 = R91, BA91 * -1, BA91)</f>
        <v>63727.75</v>
      </c>
      <c r="K91" s="12">
        <f>IF(5 = R91, BC91 * -1, BC91)</f>
        <v>3842.82</v>
      </c>
      <c r="L91" s="12">
        <f>IF(5 = R91, BE91 * -1, BE91)</f>
        <v>-0</v>
      </c>
      <c r="M91" s="12">
        <f>IF(5 = R91, BF91 * -1, BF91)</f>
        <v>2748.29</v>
      </c>
      <c r="N91" s="12">
        <f>IF(5 = R91, BG91 * -1, BG91)</f>
        <v>3291.38</v>
      </c>
      <c r="O91" s="12">
        <f>IF(5 = R91, BH91 * -1, BH91)</f>
        <v>73610.24</v>
      </c>
      <c r="P91" s="12">
        <f>IF(5 = R91, BI91 * -1, BI91)</f>
        <v>9882.49</v>
      </c>
      <c r="R91" s="11">
        <v>5</v>
      </c>
      <c r="S91" s="13">
        <f>S90</f>
        <v>0</v>
      </c>
      <c r="T91" s="13">
        <f>T90</f>
        <v>0</v>
      </c>
      <c r="U91" s="11">
        <f>U90</f>
        <v>0</v>
      </c>
      <c r="V91" s="19"/>
      <c r="W91" s="19"/>
      <c r="X91" s="18"/>
      <c r="Y91" s="18"/>
      <c r="Z91" s="18"/>
      <c r="AA91" s="18"/>
      <c r="AB91" s="19"/>
      <c r="AC91" s="19"/>
      <c r="AD91" s="19"/>
      <c r="AE91" s="19"/>
      <c r="AF91" s="18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1">
        <f>SUM(AT85:AT90)</f>
        <v>0</v>
      </c>
      <c r="AU91" s="11">
        <f>SUM(AU85:AU90)</f>
        <v>0</v>
      </c>
      <c r="AV91" s="11">
        <f>SUM(AV85:AV90)</f>
        <v>0</v>
      </c>
      <c r="AW91" s="11">
        <f>SUM(AW85:AW90)</f>
        <v>0</v>
      </c>
      <c r="AX91" s="11">
        <f>SUM(AX85:AX90)</f>
        <v>0</v>
      </c>
      <c r="AY91" s="11">
        <f>SUM(AY85:AY90)</f>
        <v>0</v>
      </c>
      <c r="AZ91" s="11">
        <f>SUM(AZ85:AZ90)</f>
        <v>0</v>
      </c>
      <c r="BA91" s="11">
        <f>SUM(BA85:BA90)</f>
        <v>-63727.75</v>
      </c>
      <c r="BB91" s="19"/>
      <c r="BC91" s="11">
        <f>SUM(BC85:BC90)</f>
        <v>-3842.82</v>
      </c>
      <c r="BD91" s="19"/>
      <c r="BE91" s="11">
        <f>SUM(BE85:BE90)</f>
        <v>0</v>
      </c>
      <c r="BF91" s="11">
        <f>SUM(BF85:BF90)</f>
        <v>-2748.29</v>
      </c>
      <c r="BG91" s="11">
        <f>SUM(BG85:BG90)</f>
        <v>-3291.38</v>
      </c>
      <c r="BH91" s="11">
        <f>SUM(BH85:BH90)</f>
        <v>-73610.24</v>
      </c>
      <c r="BI91" s="11">
        <f>SUM(BI85:BI90)</f>
        <v>-9882.49</v>
      </c>
    </row>
    <row r="92" spans="1:90">
      <c r="B92" s="18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R92" s="19"/>
      <c r="V92" s="19"/>
      <c r="W92" s="19"/>
      <c r="X92" s="18"/>
      <c r="Y92" s="18"/>
      <c r="Z92" s="18"/>
      <c r="AA92" s="18"/>
      <c r="AB92" s="19"/>
      <c r="AC92" s="19"/>
      <c r="AD92" s="19"/>
      <c r="AE92" s="19"/>
      <c r="AF92" s="18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</row>
    <row r="93" spans="1:90">
      <c r="A93" s="8" t="s">
        <v>209</v>
      </c>
      <c r="B93" s="18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R93" s="19"/>
      <c r="V93" s="19"/>
      <c r="W93" s="19"/>
      <c r="X93" s="18"/>
      <c r="Y93" s="18"/>
      <c r="Z93" s="18"/>
      <c r="AA93" s="18"/>
      <c r="AB93" s="19"/>
      <c r="AC93" s="19"/>
      <c r="AD93" s="19"/>
      <c r="AE93" s="19"/>
      <c r="AF93" s="18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</row>
    <row r="94" spans="1:90">
      <c r="A94" s="9" t="s">
        <v>210</v>
      </c>
      <c r="B94" s="18" t="s">
        <v>211</v>
      </c>
      <c r="C94" s="20">
        <v>0.0</v>
      </c>
      <c r="D94" s="20">
        <v>0.0</v>
      </c>
      <c r="E94" s="20">
        <v>0.0</v>
      </c>
      <c r="F94" s="20">
        <v>0.0</v>
      </c>
      <c r="G94" s="20">
        <v>0.0</v>
      </c>
      <c r="H94" s="20">
        <v>0.0</v>
      </c>
      <c r="I94" s="20">
        <v>0.0</v>
      </c>
      <c r="J94" s="20">
        <v>2508.28</v>
      </c>
      <c r="K94" s="20">
        <v>0.0</v>
      </c>
      <c r="L94" s="20">
        <v>0.0</v>
      </c>
      <c r="M94" s="20">
        <v>0.0</v>
      </c>
      <c r="N94" s="20">
        <v>0.0</v>
      </c>
      <c r="O94" s="20">
        <v>2508.28</v>
      </c>
      <c r="P94" s="20">
        <v>0.0</v>
      </c>
      <c r="R94" s="19">
        <v>5.0</v>
      </c>
      <c r="V94" s="19">
        <v>100017.0</v>
      </c>
      <c r="W94" s="19">
        <v>100128578.0</v>
      </c>
      <c r="X94" s="18" t="s">
        <v>212</v>
      </c>
      <c r="Y94" s="18" t="s">
        <v>212</v>
      </c>
      <c r="Z94" s="18" t="s">
        <v>213</v>
      </c>
      <c r="AA94" s="18" t="s">
        <v>211</v>
      </c>
      <c r="AB94" s="19">
        <v>5890.0</v>
      </c>
      <c r="AC94" s="19">
        <v>1.0</v>
      </c>
      <c r="AD94" s="19">
        <v>6451.0</v>
      </c>
      <c r="AE94" s="19">
        <v>0.0</v>
      </c>
      <c r="AF94" s="18" t="s">
        <v>135</v>
      </c>
      <c r="AG94" s="19">
        <v>5.0</v>
      </c>
      <c r="AH94" s="19">
        <v>-1.0</v>
      </c>
      <c r="AI94" s="19">
        <v>2240.0</v>
      </c>
      <c r="AJ94" s="19">
        <v>1.0</v>
      </c>
      <c r="AK94" s="19">
        <v>0.0</v>
      </c>
      <c r="AL94" s="19">
        <v>0.0</v>
      </c>
      <c r="AM94" s="19">
        <v>0.0</v>
      </c>
      <c r="AN94" s="19">
        <v>0.0</v>
      </c>
      <c r="AO94" s="19">
        <v>0.0</v>
      </c>
      <c r="AP94" s="19">
        <v>0.0</v>
      </c>
      <c r="AQ94" s="19">
        <v>0.0</v>
      </c>
      <c r="AR94" s="19">
        <v>0.0</v>
      </c>
      <c r="AS94" s="19">
        <v>0.0</v>
      </c>
      <c r="AT94" s="19">
        <f>IF(5 = R94, C94 * -1, C94)</f>
        <v>-0</v>
      </c>
      <c r="AU94" s="19">
        <f>IF(5 = R94, D94 * -1, D94)</f>
        <v>-0</v>
      </c>
      <c r="AV94" s="19">
        <f>IF(5 = R94, E94 * -1, E94)</f>
        <v>-0</v>
      </c>
      <c r="AW94" s="19">
        <f>IF(5 = R94, F94 * -1, F94)</f>
        <v>-0</v>
      </c>
      <c r="AX94" s="19">
        <f>IF(5 = R94, G94 * -1, G94)</f>
        <v>-0</v>
      </c>
      <c r="AY94" s="19">
        <f>IF(5 = R94, H94 * -1, H94)</f>
        <v>-0</v>
      </c>
      <c r="AZ94" s="19">
        <f>IF(5 = R94, I94 * -1, I94)</f>
        <v>-0</v>
      </c>
      <c r="BA94" s="19">
        <f>IF(5 = R94, J94 * -1, J94)</f>
        <v>-2508.28</v>
      </c>
      <c r="BB94" s="19">
        <v>0.0</v>
      </c>
      <c r="BC94" s="19">
        <f>IF(5 = R94, K94 * -1, K94)</f>
        <v>-0</v>
      </c>
      <c r="BD94" s="19">
        <v>0.0</v>
      </c>
      <c r="BE94" s="19">
        <f>IF(5 = R94, L94 * -1, L94)</f>
        <v>-0</v>
      </c>
      <c r="BF94" s="19">
        <f>IF(5 = R94, M94 * -1, M94)</f>
        <v>-0</v>
      </c>
      <c r="BG94" s="19">
        <f>IF(5 = R94, N94 * -1, N94)</f>
        <v>-0</v>
      </c>
      <c r="BH94" s="19">
        <f>IF(5 = R94, O94 * -1, O94)</f>
        <v>-2508.28</v>
      </c>
      <c r="BI94" s="19">
        <f>IF(5 = R94, P94 * -1, P94)</f>
        <v>-0</v>
      </c>
    </row>
    <row r="95" spans="1:90">
      <c r="A95" s="9" t="s">
        <v>214</v>
      </c>
      <c r="B95" s="18" t="s">
        <v>215</v>
      </c>
      <c r="C95" s="20">
        <v>0.0</v>
      </c>
      <c r="D95" s="20">
        <v>0.0</v>
      </c>
      <c r="E95" s="20">
        <v>0.0</v>
      </c>
      <c r="F95" s="20">
        <v>0.0</v>
      </c>
      <c r="G95" s="20">
        <v>0.0</v>
      </c>
      <c r="H95" s="20">
        <v>0.0</v>
      </c>
      <c r="I95" s="20">
        <v>0.0</v>
      </c>
      <c r="J95" s="20">
        <v>24997.79</v>
      </c>
      <c r="K95" s="20">
        <v>2481.0</v>
      </c>
      <c r="L95" s="20">
        <v>1910.59</v>
      </c>
      <c r="M95" s="20">
        <v>2512.85</v>
      </c>
      <c r="N95" s="20">
        <v>1226.87</v>
      </c>
      <c r="O95" s="20">
        <v>33129.1</v>
      </c>
      <c r="P95" s="20">
        <v>8131.31</v>
      </c>
      <c r="R95" s="19">
        <v>5.0</v>
      </c>
      <c r="V95" s="19">
        <v>100017.0</v>
      </c>
      <c r="W95" s="19">
        <v>100128578.0</v>
      </c>
      <c r="X95" s="18" t="s">
        <v>212</v>
      </c>
      <c r="Y95" s="18" t="s">
        <v>212</v>
      </c>
      <c r="Z95" s="18" t="s">
        <v>213</v>
      </c>
      <c r="AA95" s="18" t="s">
        <v>215</v>
      </c>
      <c r="AB95" s="19">
        <v>6010.0</v>
      </c>
      <c r="AC95" s="19">
        <v>1.0</v>
      </c>
      <c r="AD95" s="19">
        <v>6458.0</v>
      </c>
      <c r="AE95" s="19">
        <v>1.0</v>
      </c>
      <c r="AF95" s="18" t="s">
        <v>135</v>
      </c>
      <c r="AG95" s="19">
        <v>5.0</v>
      </c>
      <c r="AH95" s="19">
        <v>-1.0</v>
      </c>
      <c r="AI95" s="19">
        <v>2240.0</v>
      </c>
      <c r="AJ95" s="19">
        <v>5.0</v>
      </c>
      <c r="AK95" s="19">
        <v>0.0</v>
      </c>
      <c r="AL95" s="19">
        <v>0.0</v>
      </c>
      <c r="AM95" s="19">
        <v>0.0</v>
      </c>
      <c r="AN95" s="19">
        <v>0.0</v>
      </c>
      <c r="AO95" s="19">
        <v>0.0</v>
      </c>
      <c r="AP95" s="19">
        <v>0.0</v>
      </c>
      <c r="AQ95" s="19">
        <v>1910.59</v>
      </c>
      <c r="AR95" s="19">
        <v>1.0</v>
      </c>
      <c r="AS95" s="19">
        <v>0.0</v>
      </c>
      <c r="AT95" s="19">
        <f>IF(5 = R95, C95 * -1, C95)</f>
        <v>-0</v>
      </c>
      <c r="AU95" s="19">
        <f>IF(5 = R95, D95 * -1, D95)</f>
        <v>-0</v>
      </c>
      <c r="AV95" s="19">
        <f>IF(5 = R95, E95 * -1, E95)</f>
        <v>-0</v>
      </c>
      <c r="AW95" s="19">
        <f>IF(5 = R95, F95 * -1, F95)</f>
        <v>-0</v>
      </c>
      <c r="AX95" s="19">
        <f>IF(5 = R95, G95 * -1, G95)</f>
        <v>-0</v>
      </c>
      <c r="AY95" s="19">
        <f>IF(5 = R95, H95 * -1, H95)</f>
        <v>-0</v>
      </c>
      <c r="AZ95" s="19">
        <f>IF(5 = R95, I95 * -1, I95)</f>
        <v>-0</v>
      </c>
      <c r="BA95" s="19">
        <f>IF(5 = R95, J95 * -1, J95)</f>
        <v>-24997.79</v>
      </c>
      <c r="BB95" s="19">
        <v>-2481.0</v>
      </c>
      <c r="BC95" s="19">
        <f>IF(5 = R95, K95 * -1, K95)</f>
        <v>-2481</v>
      </c>
      <c r="BD95" s="19">
        <v>-1910.59</v>
      </c>
      <c r="BE95" s="19">
        <f>IF(5 = R95, L95 * -1, L95)</f>
        <v>-1910.59</v>
      </c>
      <c r="BF95" s="19">
        <f>IF(5 = R95, M95 * -1, M95)</f>
        <v>-2512.85</v>
      </c>
      <c r="BG95" s="19">
        <f>IF(5 = R95, N95 * -1, N95)</f>
        <v>-1226.87</v>
      </c>
      <c r="BH95" s="19">
        <f>IF(5 = R95, O95 * -1, O95)</f>
        <v>-33129.1</v>
      </c>
      <c r="BI95" s="19">
        <f>IF(5 = R95, P95 * -1, P95)</f>
        <v>-8131.31</v>
      </c>
    </row>
    <row r="96" spans="1:90">
      <c r="A96" s="9" t="s">
        <v>216</v>
      </c>
      <c r="B96" s="18" t="s">
        <v>217</v>
      </c>
      <c r="C96" s="20">
        <v>0.0</v>
      </c>
      <c r="D96" s="20">
        <v>0.0</v>
      </c>
      <c r="E96" s="20">
        <v>0.0</v>
      </c>
      <c r="F96" s="20">
        <v>0.0</v>
      </c>
      <c r="G96" s="20">
        <v>0.0</v>
      </c>
      <c r="H96" s="20">
        <v>0.0</v>
      </c>
      <c r="I96" s="20">
        <v>0.0</v>
      </c>
      <c r="J96" s="20">
        <v>3989.08</v>
      </c>
      <c r="K96" s="20">
        <v>205.8</v>
      </c>
      <c r="L96" s="20">
        <v>547.69</v>
      </c>
      <c r="M96" s="20">
        <v>316.35</v>
      </c>
      <c r="N96" s="20">
        <v>248.99</v>
      </c>
      <c r="O96" s="20">
        <v>5307.91</v>
      </c>
      <c r="P96" s="20">
        <v>1318.83</v>
      </c>
      <c r="R96" s="19">
        <v>5.0</v>
      </c>
      <c r="V96" s="19">
        <v>100017.0</v>
      </c>
      <c r="W96" s="19">
        <v>100128578.0</v>
      </c>
      <c r="X96" s="18" t="s">
        <v>212</v>
      </c>
      <c r="Y96" s="18" t="s">
        <v>212</v>
      </c>
      <c r="Z96" s="18" t="s">
        <v>213</v>
      </c>
      <c r="AA96" s="18" t="s">
        <v>217</v>
      </c>
      <c r="AB96" s="19">
        <v>6012.0</v>
      </c>
      <c r="AC96" s="19">
        <v>1.0</v>
      </c>
      <c r="AD96" s="19">
        <v>6459.0</v>
      </c>
      <c r="AE96" s="19">
        <v>2.0</v>
      </c>
      <c r="AF96" s="18" t="s">
        <v>135</v>
      </c>
      <c r="AG96" s="19">
        <v>5.0</v>
      </c>
      <c r="AH96" s="19">
        <v>-1.0</v>
      </c>
      <c r="AI96" s="19">
        <v>2240.0</v>
      </c>
      <c r="AJ96" s="19">
        <v>7.0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547.69</v>
      </c>
      <c r="AR96" s="19">
        <v>1.0</v>
      </c>
      <c r="AS96" s="19">
        <v>0.0</v>
      </c>
      <c r="AT96" s="19">
        <f>IF(5 = R96, C96 * -1, C96)</f>
        <v>-0</v>
      </c>
      <c r="AU96" s="19">
        <f>IF(5 = R96, D96 * -1, D96)</f>
        <v>-0</v>
      </c>
      <c r="AV96" s="19">
        <f>IF(5 = R96, E96 * -1, E96)</f>
        <v>-0</v>
      </c>
      <c r="AW96" s="19">
        <f>IF(5 = R96, F96 * -1, F96)</f>
        <v>-0</v>
      </c>
      <c r="AX96" s="19">
        <f>IF(5 = R96, G96 * -1, G96)</f>
        <v>-0</v>
      </c>
      <c r="AY96" s="19">
        <f>IF(5 = R96, H96 * -1, H96)</f>
        <v>-0</v>
      </c>
      <c r="AZ96" s="19">
        <f>IF(5 = R96, I96 * -1, I96)</f>
        <v>-0</v>
      </c>
      <c r="BA96" s="19">
        <f>IF(5 = R96, J96 * -1, J96)</f>
        <v>-3989.08</v>
      </c>
      <c r="BB96" s="19">
        <v>-205.8</v>
      </c>
      <c r="BC96" s="19">
        <f>IF(5 = R96, K96 * -1, K96)</f>
        <v>-205.8</v>
      </c>
      <c r="BD96" s="19">
        <v>-547.69</v>
      </c>
      <c r="BE96" s="19">
        <f>IF(5 = R96, L96 * -1, L96)</f>
        <v>-547.69</v>
      </c>
      <c r="BF96" s="19">
        <f>IF(5 = R96, M96 * -1, M96)</f>
        <v>-316.35</v>
      </c>
      <c r="BG96" s="19">
        <f>IF(5 = R96, N96 * -1, N96)</f>
        <v>-248.99</v>
      </c>
      <c r="BH96" s="19">
        <f>IF(5 = R96, O96 * -1, O96)</f>
        <v>-5307.91</v>
      </c>
      <c r="BI96" s="19">
        <f>IF(5 = R96, P96 * -1, P96)</f>
        <v>-1318.83</v>
      </c>
    </row>
    <row r="97" spans="1:90">
      <c r="A97" s="9" t="s">
        <v>218</v>
      </c>
      <c r="B97" s="18" t="s">
        <v>219</v>
      </c>
      <c r="C97" s="20">
        <v>0.0</v>
      </c>
      <c r="D97" s="20">
        <v>0.0</v>
      </c>
      <c r="E97" s="20">
        <v>0.0</v>
      </c>
      <c r="F97" s="20">
        <v>0.0</v>
      </c>
      <c r="G97" s="20">
        <v>0.0</v>
      </c>
      <c r="H97" s="20">
        <v>0.0</v>
      </c>
      <c r="I97" s="20">
        <v>0.0</v>
      </c>
      <c r="J97" s="20">
        <v>45279.06</v>
      </c>
      <c r="K97" s="20">
        <v>2065.67</v>
      </c>
      <c r="L97" s="20">
        <v>1137.41</v>
      </c>
      <c r="M97" s="20">
        <v>985.71</v>
      </c>
      <c r="N97" s="20">
        <v>695.89</v>
      </c>
      <c r="O97" s="20">
        <v>50163.74</v>
      </c>
      <c r="P97" s="20">
        <v>4884.68</v>
      </c>
      <c r="R97" s="19">
        <v>5.0</v>
      </c>
      <c r="V97" s="19">
        <v>100017.0</v>
      </c>
      <c r="W97" s="19">
        <v>100128578.0</v>
      </c>
      <c r="X97" s="18" t="s">
        <v>212</v>
      </c>
      <c r="Y97" s="18" t="s">
        <v>212</v>
      </c>
      <c r="Z97" s="18" t="s">
        <v>213</v>
      </c>
      <c r="AA97" s="18" t="s">
        <v>219</v>
      </c>
      <c r="AB97" s="19">
        <v>6020.0</v>
      </c>
      <c r="AC97" s="19">
        <v>1.0</v>
      </c>
      <c r="AD97" s="19">
        <v>6461.0</v>
      </c>
      <c r="AE97" s="19">
        <v>4.0</v>
      </c>
      <c r="AF97" s="18" t="s">
        <v>135</v>
      </c>
      <c r="AG97" s="19">
        <v>5.0</v>
      </c>
      <c r="AH97" s="19">
        <v>-1.0</v>
      </c>
      <c r="AI97" s="19">
        <v>2240.0</v>
      </c>
      <c r="AJ97" s="19">
        <v>6.0</v>
      </c>
      <c r="AK97" s="19">
        <v>0.0</v>
      </c>
      <c r="AL97" s="19">
        <v>0.0</v>
      </c>
      <c r="AM97" s="19">
        <v>0.0</v>
      </c>
      <c r="AN97" s="19">
        <v>0.0</v>
      </c>
      <c r="AO97" s="19">
        <v>0.0</v>
      </c>
      <c r="AP97" s="19">
        <v>0.0</v>
      </c>
      <c r="AQ97" s="19">
        <v>1137.41</v>
      </c>
      <c r="AR97" s="19">
        <v>1.0</v>
      </c>
      <c r="AS97" s="19">
        <v>0.0</v>
      </c>
      <c r="AT97" s="19">
        <f>IF(5 = R97, C97 * -1, C97)</f>
        <v>-0</v>
      </c>
      <c r="AU97" s="19">
        <f>IF(5 = R97, D97 * -1, D97)</f>
        <v>-0</v>
      </c>
      <c r="AV97" s="19">
        <f>IF(5 = R97, E97 * -1, E97)</f>
        <v>-0</v>
      </c>
      <c r="AW97" s="19">
        <f>IF(5 = R97, F97 * -1, F97)</f>
        <v>-0</v>
      </c>
      <c r="AX97" s="19">
        <f>IF(5 = R97, G97 * -1, G97)</f>
        <v>-0</v>
      </c>
      <c r="AY97" s="19">
        <f>IF(5 = R97, H97 * -1, H97)</f>
        <v>-0</v>
      </c>
      <c r="AZ97" s="19">
        <f>IF(5 = R97, I97 * -1, I97)</f>
        <v>-0</v>
      </c>
      <c r="BA97" s="19">
        <f>IF(5 = R97, J97 * -1, J97)</f>
        <v>-45279.06</v>
      </c>
      <c r="BB97" s="19">
        <v>-2065.67</v>
      </c>
      <c r="BC97" s="19">
        <f>IF(5 = R97, K97 * -1, K97)</f>
        <v>-2065.67</v>
      </c>
      <c r="BD97" s="19">
        <v>-1137.41</v>
      </c>
      <c r="BE97" s="19">
        <f>IF(5 = R97, L97 * -1, L97)</f>
        <v>-1137.41</v>
      </c>
      <c r="BF97" s="19">
        <f>IF(5 = R97, M97 * -1, M97)</f>
        <v>-985.71</v>
      </c>
      <c r="BG97" s="19">
        <f>IF(5 = R97, N97 * -1, N97)</f>
        <v>-695.89</v>
      </c>
      <c r="BH97" s="19">
        <f>IF(5 = R97, O97 * -1, O97)</f>
        <v>-50163.74</v>
      </c>
      <c r="BI97" s="19">
        <f>IF(5 = R97, P97 * -1, P97)</f>
        <v>-4884.68</v>
      </c>
    </row>
    <row r="98" spans="1:90">
      <c r="A98" s="9" t="s">
        <v>220</v>
      </c>
      <c r="B98" s="18" t="s">
        <v>221</v>
      </c>
      <c r="C98" s="20">
        <v>0.0</v>
      </c>
      <c r="D98" s="20">
        <v>0.0</v>
      </c>
      <c r="E98" s="20">
        <v>0.0</v>
      </c>
      <c r="F98" s="20">
        <v>0.0</v>
      </c>
      <c r="G98" s="20">
        <v>0.0</v>
      </c>
      <c r="H98" s="20">
        <v>0.0</v>
      </c>
      <c r="I98" s="20">
        <v>0.0</v>
      </c>
      <c r="J98" s="20">
        <v>329.98</v>
      </c>
      <c r="K98" s="20">
        <v>0.0</v>
      </c>
      <c r="L98" s="20">
        <v>0.0</v>
      </c>
      <c r="M98" s="20">
        <v>0.0</v>
      </c>
      <c r="N98" s="20">
        <v>0.0</v>
      </c>
      <c r="O98" s="20">
        <v>329.98</v>
      </c>
      <c r="P98" s="20">
        <v>0.0</v>
      </c>
      <c r="R98" s="19">
        <v>5.0</v>
      </c>
      <c r="V98" s="19">
        <v>100017.0</v>
      </c>
      <c r="W98" s="19">
        <v>100128578.0</v>
      </c>
      <c r="X98" s="18" t="s">
        <v>212</v>
      </c>
      <c r="Y98" s="18" t="s">
        <v>212</v>
      </c>
      <c r="Z98" s="18" t="s">
        <v>213</v>
      </c>
      <c r="AA98" s="18" t="s">
        <v>221</v>
      </c>
      <c r="AB98" s="19">
        <v>6022.0</v>
      </c>
      <c r="AC98" s="19">
        <v>1.0</v>
      </c>
      <c r="AD98" s="19">
        <v>6462.0</v>
      </c>
      <c r="AE98" s="19">
        <v>5.0</v>
      </c>
      <c r="AF98" s="18" t="s">
        <v>135</v>
      </c>
      <c r="AG98" s="19">
        <v>5.0</v>
      </c>
      <c r="AH98" s="19">
        <v>-1.0</v>
      </c>
      <c r="AI98" s="19">
        <v>2240.0</v>
      </c>
      <c r="AJ98" s="19">
        <v>1.0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f>IF(5 = R98, C98 * -1, C98)</f>
        <v>-0</v>
      </c>
      <c r="AU98" s="19">
        <f>IF(5 = R98, D98 * -1, D98)</f>
        <v>-0</v>
      </c>
      <c r="AV98" s="19">
        <f>IF(5 = R98, E98 * -1, E98)</f>
        <v>-0</v>
      </c>
      <c r="AW98" s="19">
        <f>IF(5 = R98, F98 * -1, F98)</f>
        <v>-0</v>
      </c>
      <c r="AX98" s="19">
        <f>IF(5 = R98, G98 * -1, G98)</f>
        <v>-0</v>
      </c>
      <c r="AY98" s="19">
        <f>IF(5 = R98, H98 * -1, H98)</f>
        <v>-0</v>
      </c>
      <c r="AZ98" s="19">
        <f>IF(5 = R98, I98 * -1, I98)</f>
        <v>-0</v>
      </c>
      <c r="BA98" s="19">
        <f>IF(5 = R98, J98 * -1, J98)</f>
        <v>-329.98</v>
      </c>
      <c r="BB98" s="19">
        <v>0.0</v>
      </c>
      <c r="BC98" s="19">
        <f>IF(5 = R98, K98 * -1, K98)</f>
        <v>-0</v>
      </c>
      <c r="BD98" s="19">
        <v>0.0</v>
      </c>
      <c r="BE98" s="19">
        <f>IF(5 = R98, L98 * -1, L98)</f>
        <v>-0</v>
      </c>
      <c r="BF98" s="19">
        <f>IF(5 = R98, M98 * -1, M98)</f>
        <v>-0</v>
      </c>
      <c r="BG98" s="19">
        <f>IF(5 = R98, N98 * -1, N98)</f>
        <v>-0</v>
      </c>
      <c r="BH98" s="19">
        <f>IF(5 = R98, O98 * -1, O98)</f>
        <v>-329.98</v>
      </c>
      <c r="BI98" s="19">
        <f>IF(5 = R98, P98 * -1, P98)</f>
        <v>-0</v>
      </c>
    </row>
    <row r="99" spans="1:90">
      <c r="A99" s="9" t="s">
        <v>222</v>
      </c>
      <c r="B99" s="18" t="s">
        <v>223</v>
      </c>
      <c r="C99" s="20">
        <v>0.0</v>
      </c>
      <c r="D99" s="20">
        <v>0.0</v>
      </c>
      <c r="E99" s="20">
        <v>0.0</v>
      </c>
      <c r="F99" s="20">
        <v>0.0</v>
      </c>
      <c r="G99" s="20">
        <v>0.0</v>
      </c>
      <c r="H99" s="20">
        <v>0.0</v>
      </c>
      <c r="I99" s="20">
        <v>0.0</v>
      </c>
      <c r="J99" s="20">
        <v>34843.22</v>
      </c>
      <c r="K99" s="20">
        <v>3070.55</v>
      </c>
      <c r="L99" s="20">
        <v>6732.72</v>
      </c>
      <c r="M99" s="20">
        <v>5607.51</v>
      </c>
      <c r="N99" s="20">
        <v>818.84</v>
      </c>
      <c r="O99" s="20">
        <v>51072.84</v>
      </c>
      <c r="P99" s="20">
        <v>16229.62</v>
      </c>
      <c r="R99" s="19">
        <v>5.0</v>
      </c>
      <c r="V99" s="19">
        <v>100017.0</v>
      </c>
      <c r="W99" s="19">
        <v>100128578.0</v>
      </c>
      <c r="X99" s="18" t="s">
        <v>212</v>
      </c>
      <c r="Y99" s="18" t="s">
        <v>212</v>
      </c>
      <c r="Z99" s="18" t="s">
        <v>213</v>
      </c>
      <c r="AA99" s="18" t="s">
        <v>223</v>
      </c>
      <c r="AB99" s="19">
        <v>6030.0</v>
      </c>
      <c r="AC99" s="19">
        <v>1.0</v>
      </c>
      <c r="AD99" s="19">
        <v>6464.0</v>
      </c>
      <c r="AE99" s="19">
        <v>7.0</v>
      </c>
      <c r="AF99" s="18" t="s">
        <v>135</v>
      </c>
      <c r="AG99" s="19">
        <v>5.0</v>
      </c>
      <c r="AH99" s="19">
        <v>-1.0</v>
      </c>
      <c r="AI99" s="19">
        <v>2240.0</v>
      </c>
      <c r="AJ99" s="19">
        <v>5.0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6732.72</v>
      </c>
      <c r="AR99" s="19">
        <v>1.0</v>
      </c>
      <c r="AS99" s="19">
        <v>0.0</v>
      </c>
      <c r="AT99" s="19">
        <f>IF(5 = R99, C99 * -1, C99)</f>
        <v>-0</v>
      </c>
      <c r="AU99" s="19">
        <f>IF(5 = R99, D99 * -1, D99)</f>
        <v>-0</v>
      </c>
      <c r="AV99" s="19">
        <f>IF(5 = R99, E99 * -1, E99)</f>
        <v>-0</v>
      </c>
      <c r="AW99" s="19">
        <f>IF(5 = R99, F99 * -1, F99)</f>
        <v>-0</v>
      </c>
      <c r="AX99" s="19">
        <f>IF(5 = R99, G99 * -1, G99)</f>
        <v>-0</v>
      </c>
      <c r="AY99" s="19">
        <f>IF(5 = R99, H99 * -1, H99)</f>
        <v>-0</v>
      </c>
      <c r="AZ99" s="19">
        <f>IF(5 = R99, I99 * -1, I99)</f>
        <v>-0</v>
      </c>
      <c r="BA99" s="19">
        <f>IF(5 = R99, J99 * -1, J99)</f>
        <v>-34843.22</v>
      </c>
      <c r="BB99" s="19">
        <v>-3070.55</v>
      </c>
      <c r="BC99" s="19">
        <f>IF(5 = R99, K99 * -1, K99)</f>
        <v>-3070.55</v>
      </c>
      <c r="BD99" s="19">
        <v>-6732.72</v>
      </c>
      <c r="BE99" s="19">
        <f>IF(5 = R99, L99 * -1, L99)</f>
        <v>-6732.72</v>
      </c>
      <c r="BF99" s="19">
        <f>IF(5 = R99, M99 * -1, M99)</f>
        <v>-5607.51</v>
      </c>
      <c r="BG99" s="19">
        <f>IF(5 = R99, N99 * -1, N99)</f>
        <v>-818.84</v>
      </c>
      <c r="BH99" s="19">
        <f>IF(5 = R99, O99 * -1, O99)</f>
        <v>-51072.84</v>
      </c>
      <c r="BI99" s="19">
        <f>IF(5 = R99, P99 * -1, P99)</f>
        <v>-16229.62</v>
      </c>
    </row>
    <row r="100" spans="1:90">
      <c r="A100" s="9" t="s">
        <v>224</v>
      </c>
      <c r="B100" s="18" t="s">
        <v>225</v>
      </c>
      <c r="C100" s="20">
        <v>0.0</v>
      </c>
      <c r="D100" s="20">
        <v>0.0</v>
      </c>
      <c r="E100" s="20">
        <v>0.0</v>
      </c>
      <c r="F100" s="20">
        <v>0.0</v>
      </c>
      <c r="G100" s="20">
        <v>0.0</v>
      </c>
      <c r="H100" s="20">
        <v>0.0</v>
      </c>
      <c r="I100" s="20">
        <v>0.0</v>
      </c>
      <c r="J100" s="20">
        <v>34308.42</v>
      </c>
      <c r="K100" s="20">
        <v>777.36</v>
      </c>
      <c r="L100" s="20">
        <v>696.23</v>
      </c>
      <c r="M100" s="20">
        <v>627.55</v>
      </c>
      <c r="N100" s="20">
        <v>645.23</v>
      </c>
      <c r="O100" s="20">
        <v>37054.79</v>
      </c>
      <c r="P100" s="20">
        <v>2746.37</v>
      </c>
      <c r="R100" s="19">
        <v>5.0</v>
      </c>
      <c r="V100" s="19">
        <v>100017.0</v>
      </c>
      <c r="W100" s="19">
        <v>100128578.0</v>
      </c>
      <c r="X100" s="18" t="s">
        <v>212</v>
      </c>
      <c r="Y100" s="18" t="s">
        <v>212</v>
      </c>
      <c r="Z100" s="18" t="s">
        <v>213</v>
      </c>
      <c r="AA100" s="18" t="s">
        <v>225</v>
      </c>
      <c r="AB100" s="19">
        <v>6040.0</v>
      </c>
      <c r="AC100" s="19">
        <v>1.0</v>
      </c>
      <c r="AD100" s="19">
        <v>6466.0</v>
      </c>
      <c r="AE100" s="19">
        <v>9.0</v>
      </c>
      <c r="AF100" s="18" t="s">
        <v>135</v>
      </c>
      <c r="AG100" s="19">
        <v>5.0</v>
      </c>
      <c r="AH100" s="19">
        <v>-1.0</v>
      </c>
      <c r="AI100" s="19">
        <v>2240.0</v>
      </c>
      <c r="AJ100" s="19">
        <v>6.0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696.23</v>
      </c>
      <c r="AR100" s="19">
        <v>1.0</v>
      </c>
      <c r="AS100" s="19">
        <v>0.0</v>
      </c>
      <c r="AT100" s="19">
        <f>IF(5 = R100, C100 * -1, C100)</f>
        <v>-0</v>
      </c>
      <c r="AU100" s="19">
        <f>IF(5 = R100, D100 * -1, D100)</f>
        <v>-0</v>
      </c>
      <c r="AV100" s="19">
        <f>IF(5 = R100, E100 * -1, E100)</f>
        <v>-0</v>
      </c>
      <c r="AW100" s="19">
        <f>IF(5 = R100, F100 * -1, F100)</f>
        <v>-0</v>
      </c>
      <c r="AX100" s="19">
        <f>IF(5 = R100, G100 * -1, G100)</f>
        <v>-0</v>
      </c>
      <c r="AY100" s="19">
        <f>IF(5 = R100, H100 * -1, H100)</f>
        <v>-0</v>
      </c>
      <c r="AZ100" s="19">
        <f>IF(5 = R100, I100 * -1, I100)</f>
        <v>-0</v>
      </c>
      <c r="BA100" s="19">
        <f>IF(5 = R100, J100 * -1, J100)</f>
        <v>-34308.42</v>
      </c>
      <c r="BB100" s="19">
        <v>-777.36</v>
      </c>
      <c r="BC100" s="19">
        <f>IF(5 = R100, K100 * -1, K100)</f>
        <v>-777.36</v>
      </c>
      <c r="BD100" s="19">
        <v>-696.23</v>
      </c>
      <c r="BE100" s="19">
        <f>IF(5 = R100, L100 * -1, L100)</f>
        <v>-696.23</v>
      </c>
      <c r="BF100" s="19">
        <f>IF(5 = R100, M100 * -1, M100)</f>
        <v>-627.55</v>
      </c>
      <c r="BG100" s="19">
        <f>IF(5 = R100, N100 * -1, N100)</f>
        <v>-645.23</v>
      </c>
      <c r="BH100" s="19">
        <f>IF(5 = R100, O100 * -1, O100)</f>
        <v>-37054.79</v>
      </c>
      <c r="BI100" s="19">
        <f>IF(5 = R100, P100 * -1, P100)</f>
        <v>-2746.37</v>
      </c>
    </row>
    <row r="101" spans="1:90">
      <c r="A101" s="9" t="s">
        <v>226</v>
      </c>
      <c r="B101" s="18" t="s">
        <v>227</v>
      </c>
      <c r="C101" s="20">
        <v>0.0</v>
      </c>
      <c r="D101" s="20">
        <v>0.0</v>
      </c>
      <c r="E101" s="20">
        <v>0.0</v>
      </c>
      <c r="F101" s="20">
        <v>0.0</v>
      </c>
      <c r="G101" s="20">
        <v>0.0</v>
      </c>
      <c r="H101" s="20">
        <v>0.0</v>
      </c>
      <c r="I101" s="20">
        <v>8348.42</v>
      </c>
      <c r="J101" s="20">
        <v>4328.82</v>
      </c>
      <c r="K101" s="20">
        <v>3617.01</v>
      </c>
      <c r="L101" s="20">
        <v>1169.0</v>
      </c>
      <c r="M101" s="20">
        <v>559.0</v>
      </c>
      <c r="N101" s="20">
        <v>601.5</v>
      </c>
      <c r="O101" s="20">
        <v>18623.75</v>
      </c>
      <c r="P101" s="20">
        <v>5946.51</v>
      </c>
      <c r="R101" s="19">
        <v>5.0</v>
      </c>
      <c r="V101" s="19">
        <v>100017.0</v>
      </c>
      <c r="W101" s="19">
        <v>100128578.0</v>
      </c>
      <c r="X101" s="18" t="s">
        <v>212</v>
      </c>
      <c r="Y101" s="18" t="s">
        <v>212</v>
      </c>
      <c r="Z101" s="18" t="s">
        <v>213</v>
      </c>
      <c r="AA101" s="18" t="s">
        <v>227</v>
      </c>
      <c r="AB101" s="19">
        <v>6050.0</v>
      </c>
      <c r="AC101" s="19">
        <v>1.0</v>
      </c>
      <c r="AD101" s="19">
        <v>6467.0</v>
      </c>
      <c r="AE101" s="19">
        <v>10.0</v>
      </c>
      <c r="AF101" s="18" t="s">
        <v>135</v>
      </c>
      <c r="AG101" s="19">
        <v>5.0</v>
      </c>
      <c r="AH101" s="19">
        <v>-1.0</v>
      </c>
      <c r="AI101" s="19">
        <v>2240.0</v>
      </c>
      <c r="AJ101" s="19">
        <v>7.0</v>
      </c>
      <c r="AK101" s="19">
        <v>0.0</v>
      </c>
      <c r="AL101" s="19">
        <v>0.0</v>
      </c>
      <c r="AM101" s="19">
        <v>0.0</v>
      </c>
      <c r="AN101" s="19">
        <v>0.0</v>
      </c>
      <c r="AO101" s="19">
        <v>8348.42</v>
      </c>
      <c r="AP101" s="19">
        <v>1.0</v>
      </c>
      <c r="AQ101" s="19">
        <v>1169.0</v>
      </c>
      <c r="AR101" s="19">
        <v>1.0</v>
      </c>
      <c r="AS101" s="19">
        <v>0.0</v>
      </c>
      <c r="AT101" s="19">
        <f>IF(5 = R101, C101 * -1, C101)</f>
        <v>-0</v>
      </c>
      <c r="AU101" s="19">
        <f>IF(5 = R101, D101 * -1, D101)</f>
        <v>-0</v>
      </c>
      <c r="AV101" s="19">
        <f>IF(5 = R101, E101 * -1, E101)</f>
        <v>-0</v>
      </c>
      <c r="AW101" s="19">
        <f>IF(5 = R101, F101 * -1, F101)</f>
        <v>-0</v>
      </c>
      <c r="AX101" s="19">
        <f>IF(5 = R101, G101 * -1, G101)</f>
        <v>-0</v>
      </c>
      <c r="AY101" s="19">
        <f>IF(5 = R101, H101 * -1, H101)</f>
        <v>-0</v>
      </c>
      <c r="AZ101" s="19">
        <f>IF(5 = R101, I101 * -1, I101)</f>
        <v>-8348.42</v>
      </c>
      <c r="BA101" s="19">
        <f>IF(5 = R101, J101 * -1, J101)</f>
        <v>-4328.82</v>
      </c>
      <c r="BB101" s="19">
        <v>-3617.01</v>
      </c>
      <c r="BC101" s="19">
        <f>IF(5 = R101, K101 * -1, K101)</f>
        <v>-3617.01</v>
      </c>
      <c r="BD101" s="19">
        <v>-1169.0</v>
      </c>
      <c r="BE101" s="19">
        <f>IF(5 = R101, L101 * -1, L101)</f>
        <v>-1169</v>
      </c>
      <c r="BF101" s="19">
        <f>IF(5 = R101, M101 * -1, M101)</f>
        <v>-559</v>
      </c>
      <c r="BG101" s="19">
        <f>IF(5 = R101, N101 * -1, N101)</f>
        <v>-601.5</v>
      </c>
      <c r="BH101" s="19">
        <f>IF(5 = R101, O101 * -1, O101)</f>
        <v>-18623.75</v>
      </c>
      <c r="BI101" s="19">
        <f>IF(5 = R101, P101 * -1, P101)</f>
        <v>-5946.51</v>
      </c>
    </row>
    <row r="102" spans="1:90">
      <c r="A102" s="9" t="s">
        <v>228</v>
      </c>
      <c r="B102" s="18" t="s">
        <v>229</v>
      </c>
      <c r="C102" s="20">
        <v>0.0</v>
      </c>
      <c r="D102" s="20">
        <v>0.0</v>
      </c>
      <c r="E102" s="20">
        <v>0.0</v>
      </c>
      <c r="F102" s="20">
        <v>0.0</v>
      </c>
      <c r="G102" s="20">
        <v>0.0</v>
      </c>
      <c r="H102" s="20">
        <v>0.0</v>
      </c>
      <c r="I102" s="20">
        <v>0.0</v>
      </c>
      <c r="J102" s="20">
        <v>4308.68</v>
      </c>
      <c r="K102" s="20">
        <v>0.0</v>
      </c>
      <c r="L102" s="20">
        <v>329.53</v>
      </c>
      <c r="M102" s="20">
        <v>329.51</v>
      </c>
      <c r="N102" s="20">
        <v>329.53</v>
      </c>
      <c r="O102" s="20">
        <v>5297.25</v>
      </c>
      <c r="P102" s="20">
        <v>988.57</v>
      </c>
      <c r="R102" s="19">
        <v>5.0</v>
      </c>
      <c r="V102" s="19">
        <v>100017.0</v>
      </c>
      <c r="W102" s="19">
        <v>100128578.0</v>
      </c>
      <c r="X102" s="18" t="s">
        <v>212</v>
      </c>
      <c r="Y102" s="18" t="s">
        <v>212</v>
      </c>
      <c r="Z102" s="18" t="s">
        <v>213</v>
      </c>
      <c r="AA102" s="18" t="s">
        <v>229</v>
      </c>
      <c r="AB102" s="19">
        <v>6450.0</v>
      </c>
      <c r="AC102" s="19">
        <v>1.0</v>
      </c>
      <c r="AD102" s="19">
        <v>6486.0</v>
      </c>
      <c r="AE102" s="19">
        <v>11.0</v>
      </c>
      <c r="AF102" s="18" t="s">
        <v>135</v>
      </c>
      <c r="AG102" s="19">
        <v>5.0</v>
      </c>
      <c r="AH102" s="19">
        <v>-1.0</v>
      </c>
      <c r="AI102" s="19">
        <v>2240.0</v>
      </c>
      <c r="AJ102" s="19">
        <v>5.0</v>
      </c>
      <c r="AK102" s="19">
        <v>0.0</v>
      </c>
      <c r="AL102" s="19">
        <v>0.0</v>
      </c>
      <c r="AM102" s="19">
        <v>0.0</v>
      </c>
      <c r="AN102" s="19">
        <v>0.0</v>
      </c>
      <c r="AO102" s="19">
        <v>0.0</v>
      </c>
      <c r="AP102" s="19">
        <v>0.0</v>
      </c>
      <c r="AQ102" s="19">
        <v>329.53</v>
      </c>
      <c r="AR102" s="19">
        <v>1.0</v>
      </c>
      <c r="AS102" s="19">
        <v>0.0</v>
      </c>
      <c r="AT102" s="19">
        <f>IF(5 = R102, C102 * -1, C102)</f>
        <v>-0</v>
      </c>
      <c r="AU102" s="19">
        <f>IF(5 = R102, D102 * -1, D102)</f>
        <v>-0</v>
      </c>
      <c r="AV102" s="19">
        <f>IF(5 = R102, E102 * -1, E102)</f>
        <v>-0</v>
      </c>
      <c r="AW102" s="19">
        <f>IF(5 = R102, F102 * -1, F102)</f>
        <v>-0</v>
      </c>
      <c r="AX102" s="19">
        <f>IF(5 = R102, G102 * -1, G102)</f>
        <v>-0</v>
      </c>
      <c r="AY102" s="19">
        <f>IF(5 = R102, H102 * -1, H102)</f>
        <v>-0</v>
      </c>
      <c r="AZ102" s="19">
        <f>IF(5 = R102, I102 * -1, I102)</f>
        <v>-0</v>
      </c>
      <c r="BA102" s="19">
        <f>IF(5 = R102, J102 * -1, J102)</f>
        <v>-4308.68</v>
      </c>
      <c r="BB102" s="19">
        <v>0.0</v>
      </c>
      <c r="BC102" s="19">
        <f>IF(5 = R102, K102 * -1, K102)</f>
        <v>-0</v>
      </c>
      <c r="BD102" s="19">
        <v>-329.53</v>
      </c>
      <c r="BE102" s="19">
        <f>IF(5 = R102, L102 * -1, L102)</f>
        <v>-329.53</v>
      </c>
      <c r="BF102" s="19">
        <f>IF(5 = R102, M102 * -1, M102)</f>
        <v>-329.51</v>
      </c>
      <c r="BG102" s="19">
        <f>IF(5 = R102, N102 * -1, N102)</f>
        <v>-329.53</v>
      </c>
      <c r="BH102" s="19">
        <f>IF(5 = R102, O102 * -1, O102)</f>
        <v>-5297.25</v>
      </c>
      <c r="BI102" s="19">
        <f>IF(5 = R102, P102 * -1, P102)</f>
        <v>-988.57</v>
      </c>
    </row>
    <row r="103" spans="1:90">
      <c r="A103" s="9" t="s">
        <v>230</v>
      </c>
      <c r="B103" s="18" t="s">
        <v>231</v>
      </c>
      <c r="C103" s="20">
        <v>0.0</v>
      </c>
      <c r="D103" s="20">
        <v>0.0</v>
      </c>
      <c r="E103" s="20">
        <v>0.0</v>
      </c>
      <c r="F103" s="20">
        <v>0.0</v>
      </c>
      <c r="G103" s="20">
        <v>0.0</v>
      </c>
      <c r="H103" s="20">
        <v>0.0</v>
      </c>
      <c r="I103" s="20">
        <v>0.0</v>
      </c>
      <c r="J103" s="20">
        <v>226.8</v>
      </c>
      <c r="K103" s="20">
        <v>226.8</v>
      </c>
      <c r="L103" s="20">
        <v>226.8</v>
      </c>
      <c r="M103" s="20">
        <v>226.8</v>
      </c>
      <c r="N103" s="20">
        <v>742.05</v>
      </c>
      <c r="O103" s="20">
        <v>1649.25</v>
      </c>
      <c r="P103" s="20">
        <v>1422.45</v>
      </c>
      <c r="R103" s="19">
        <v>5.0</v>
      </c>
      <c r="V103" s="19">
        <v>100017.0</v>
      </c>
      <c r="W103" s="19">
        <v>100128578.0</v>
      </c>
      <c r="X103" s="18" t="s">
        <v>212</v>
      </c>
      <c r="Y103" s="18" t="s">
        <v>212</v>
      </c>
      <c r="Z103" s="18" t="s">
        <v>213</v>
      </c>
      <c r="AA103" s="18" t="s">
        <v>231</v>
      </c>
      <c r="AB103" s="19">
        <v>6470.0</v>
      </c>
      <c r="AC103" s="19">
        <v>1.0</v>
      </c>
      <c r="AD103" s="19">
        <v>6488.0</v>
      </c>
      <c r="AE103" s="19">
        <v>12.0</v>
      </c>
      <c r="AF103" s="18" t="s">
        <v>135</v>
      </c>
      <c r="AG103" s="19">
        <v>5.0</v>
      </c>
      <c r="AH103" s="19">
        <v>-1.0</v>
      </c>
      <c r="AI103" s="19">
        <v>2240.0</v>
      </c>
      <c r="AJ103" s="19">
        <v>7.0</v>
      </c>
      <c r="AK103" s="19">
        <v>0.0</v>
      </c>
      <c r="AL103" s="19">
        <v>0.0</v>
      </c>
      <c r="AM103" s="19">
        <v>0.0</v>
      </c>
      <c r="AN103" s="19">
        <v>0.0</v>
      </c>
      <c r="AO103" s="19">
        <v>0.0</v>
      </c>
      <c r="AP103" s="19">
        <v>0.0</v>
      </c>
      <c r="AQ103" s="19">
        <v>226.8</v>
      </c>
      <c r="AR103" s="19">
        <v>1.0</v>
      </c>
      <c r="AS103" s="19">
        <v>0.0</v>
      </c>
      <c r="AT103" s="19">
        <f>IF(5 = R103, C103 * -1, C103)</f>
        <v>-0</v>
      </c>
      <c r="AU103" s="19">
        <f>IF(5 = R103, D103 * -1, D103)</f>
        <v>-0</v>
      </c>
      <c r="AV103" s="19">
        <f>IF(5 = R103, E103 * -1, E103)</f>
        <v>-0</v>
      </c>
      <c r="AW103" s="19">
        <f>IF(5 = R103, F103 * -1, F103)</f>
        <v>-0</v>
      </c>
      <c r="AX103" s="19">
        <f>IF(5 = R103, G103 * -1, G103)</f>
        <v>-0</v>
      </c>
      <c r="AY103" s="19">
        <f>IF(5 = R103, H103 * -1, H103)</f>
        <v>-0</v>
      </c>
      <c r="AZ103" s="19">
        <f>IF(5 = R103, I103 * -1, I103)</f>
        <v>-0</v>
      </c>
      <c r="BA103" s="19">
        <f>IF(5 = R103, J103 * -1, J103)</f>
        <v>-226.8</v>
      </c>
      <c r="BB103" s="19">
        <v>-226.8</v>
      </c>
      <c r="BC103" s="19">
        <f>IF(5 = R103, K103 * -1, K103)</f>
        <v>-226.8</v>
      </c>
      <c r="BD103" s="19">
        <v>-226.8</v>
      </c>
      <c r="BE103" s="19">
        <f>IF(5 = R103, L103 * -1, L103)</f>
        <v>-226.8</v>
      </c>
      <c r="BF103" s="19">
        <f>IF(5 = R103, M103 * -1, M103)</f>
        <v>-226.8</v>
      </c>
      <c r="BG103" s="19">
        <f>IF(5 = R103, N103 * -1, N103)</f>
        <v>-742.05</v>
      </c>
      <c r="BH103" s="19">
        <f>IF(5 = R103, O103 * -1, O103)</f>
        <v>-1649.25</v>
      </c>
      <c r="BI103" s="19">
        <f>IF(5 = R103, P103 * -1, P103)</f>
        <v>-1422.45</v>
      </c>
    </row>
    <row r="104" spans="1:90">
      <c r="B104" s="7" t="s">
        <v>209</v>
      </c>
      <c r="C104" s="12">
        <f>IF(5 = R104, AT104 * -1, AT104)</f>
        <v>-0</v>
      </c>
      <c r="D104" s="12">
        <f>IF(5 = R104, AU104 * -1, AU104)</f>
        <v>-0</v>
      </c>
      <c r="E104" s="12">
        <f>IF(5 = R104, AV104 * -1, AV104)</f>
        <v>-0</v>
      </c>
      <c r="F104" s="12">
        <f>IF(5 = R104, AW104 * -1, AW104)</f>
        <v>-0</v>
      </c>
      <c r="G104" s="12">
        <f>IF(5 = R104, AX104 * -1, AX104)</f>
        <v>-0</v>
      </c>
      <c r="H104" s="12">
        <f>IF(5 = R104, AY104 * -1, AY104)</f>
        <v>-0</v>
      </c>
      <c r="I104" s="12">
        <f>IF(5 = R104, AZ104 * -1, AZ104)</f>
        <v>8348.42</v>
      </c>
      <c r="J104" s="12">
        <f>IF(5 = R104, BA104 * -1, BA104)</f>
        <v>155120.13</v>
      </c>
      <c r="K104" s="12">
        <f>IF(5 = R104, BC104 * -1, BC104)</f>
        <v>12444.19</v>
      </c>
      <c r="L104" s="12">
        <f>IF(5 = R104, BE104 * -1, BE104)</f>
        <v>12749.97</v>
      </c>
      <c r="M104" s="12">
        <f>IF(5 = R104, BF104 * -1, BF104)</f>
        <v>11165.28</v>
      </c>
      <c r="N104" s="12">
        <f>IF(5 = R104, BG104 * -1, BG104)</f>
        <v>5308.9</v>
      </c>
      <c r="O104" s="12">
        <f>IF(5 = R104, BH104 * -1, BH104)</f>
        <v>205136.89</v>
      </c>
      <c r="P104" s="12">
        <f>IF(5 = R104, BI104 * -1, BI104)</f>
        <v>41668.34</v>
      </c>
      <c r="R104" s="11">
        <v>5</v>
      </c>
      <c r="S104" s="13">
        <f>S103</f>
        <v>0</v>
      </c>
      <c r="T104" s="13">
        <f>T103</f>
        <v>0</v>
      </c>
      <c r="U104" s="11">
        <f>U103</f>
        <v>0</v>
      </c>
      <c r="V104" s="19"/>
      <c r="W104" s="19"/>
      <c r="X104" s="18"/>
      <c r="Y104" s="18"/>
      <c r="Z104" s="18"/>
      <c r="AA104" s="18"/>
      <c r="AB104" s="19"/>
      <c r="AC104" s="19"/>
      <c r="AD104" s="19"/>
      <c r="AE104" s="19"/>
      <c r="AF104" s="18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1">
        <f>SUM(AT94:AT103)</f>
        <v>0</v>
      </c>
      <c r="AU104" s="11">
        <f>SUM(AU94:AU103)</f>
        <v>0</v>
      </c>
      <c r="AV104" s="11">
        <f>SUM(AV94:AV103)</f>
        <v>0</v>
      </c>
      <c r="AW104" s="11">
        <f>SUM(AW94:AW103)</f>
        <v>0</v>
      </c>
      <c r="AX104" s="11">
        <f>SUM(AX94:AX103)</f>
        <v>0</v>
      </c>
      <c r="AY104" s="11">
        <f>SUM(AY94:AY103)</f>
        <v>0</v>
      </c>
      <c r="AZ104" s="11">
        <f>SUM(AZ94:AZ103)</f>
        <v>-8348.42</v>
      </c>
      <c r="BA104" s="11">
        <f>SUM(BA94:BA103)</f>
        <v>-155120.13</v>
      </c>
      <c r="BB104" s="19"/>
      <c r="BC104" s="11">
        <f>SUM(BC94:BC103)</f>
        <v>-12444.19</v>
      </c>
      <c r="BD104" s="19"/>
      <c r="BE104" s="11">
        <f>SUM(BE94:BE103)</f>
        <v>-12749.97</v>
      </c>
      <c r="BF104" s="11">
        <f>SUM(BF94:BF103)</f>
        <v>-11165.28</v>
      </c>
      <c r="BG104" s="11">
        <f>SUM(BG94:BG103)</f>
        <v>-5308.9</v>
      </c>
      <c r="BH104" s="11">
        <f>SUM(BH94:BH103)</f>
        <v>-205136.89</v>
      </c>
      <c r="BI104" s="11">
        <f>SUM(BI94:BI103)</f>
        <v>-41668.34</v>
      </c>
    </row>
    <row r="105" spans="1:90">
      <c r="B105" s="18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R105" s="19"/>
      <c r="V105" s="19"/>
      <c r="W105" s="19"/>
      <c r="X105" s="18"/>
      <c r="Y105" s="18"/>
      <c r="Z105" s="18"/>
      <c r="AA105" s="18"/>
      <c r="AB105" s="19"/>
      <c r="AC105" s="19"/>
      <c r="AD105" s="19"/>
      <c r="AE105" s="19"/>
      <c r="AF105" s="18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</row>
    <row r="106" spans="1:90">
      <c r="A106" s="8" t="s">
        <v>232</v>
      </c>
      <c r="B106" s="18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R106" s="19"/>
      <c r="V106" s="19"/>
      <c r="W106" s="19"/>
      <c r="X106" s="18"/>
      <c r="Y106" s="18"/>
      <c r="Z106" s="18"/>
      <c r="AA106" s="18"/>
      <c r="AB106" s="19"/>
      <c r="AC106" s="19"/>
      <c r="AD106" s="19"/>
      <c r="AE106" s="19"/>
      <c r="AF106" s="18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</row>
    <row r="107" spans="1:90">
      <c r="A107" s="9" t="s">
        <v>233</v>
      </c>
      <c r="B107" s="18" t="s">
        <v>234</v>
      </c>
      <c r="C107" s="20">
        <v>0.0</v>
      </c>
      <c r="D107" s="20">
        <v>0.0</v>
      </c>
      <c r="E107" s="20">
        <v>0.0</v>
      </c>
      <c r="F107" s="20">
        <v>0.0</v>
      </c>
      <c r="G107" s="20">
        <v>0.0</v>
      </c>
      <c r="H107" s="20">
        <v>0.0</v>
      </c>
      <c r="I107" s="20">
        <v>124834.3</v>
      </c>
      <c r="J107" s="20">
        <v>55416.95</v>
      </c>
      <c r="K107" s="20">
        <v>0.0</v>
      </c>
      <c r="L107" s="20">
        <v>0.0</v>
      </c>
      <c r="M107" s="20">
        <v>0.0</v>
      </c>
      <c r="N107" s="20">
        <v>0.0</v>
      </c>
      <c r="O107" s="20">
        <v>180251.25</v>
      </c>
      <c r="P107" s="20">
        <v>0.0</v>
      </c>
      <c r="R107" s="19">
        <v>5.0</v>
      </c>
      <c r="V107" s="19">
        <v>100017.0</v>
      </c>
      <c r="W107" s="19">
        <v>100128578.0</v>
      </c>
      <c r="X107" s="18" t="s">
        <v>235</v>
      </c>
      <c r="Y107" s="18" t="s">
        <v>235</v>
      </c>
      <c r="Z107" s="18" t="s">
        <v>236</v>
      </c>
      <c r="AA107" s="18" t="s">
        <v>234</v>
      </c>
      <c r="AB107" s="19">
        <v>6110.0</v>
      </c>
      <c r="AC107" s="19">
        <v>1.0</v>
      </c>
      <c r="AD107" s="19">
        <v>6468.0</v>
      </c>
      <c r="AE107" s="19">
        <v>0.0</v>
      </c>
      <c r="AF107" s="18" t="s">
        <v>135</v>
      </c>
      <c r="AG107" s="19">
        <v>5.0</v>
      </c>
      <c r="AH107" s="19">
        <v>-1.0</v>
      </c>
      <c r="AI107" s="19">
        <v>2241.0</v>
      </c>
      <c r="AJ107" s="19">
        <v>2.0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124834.3</v>
      </c>
      <c r="AP107" s="19">
        <v>1.0</v>
      </c>
      <c r="AQ107" s="19">
        <v>0.0</v>
      </c>
      <c r="AR107" s="19">
        <v>0.0</v>
      </c>
      <c r="AS107" s="19">
        <v>0.0</v>
      </c>
      <c r="AT107" s="19">
        <f>IF(5 = R107, C107 * -1, C107)</f>
        <v>-0</v>
      </c>
      <c r="AU107" s="19">
        <f>IF(5 = R107, D107 * -1, D107)</f>
        <v>-0</v>
      </c>
      <c r="AV107" s="19">
        <f>IF(5 = R107, E107 * -1, E107)</f>
        <v>-0</v>
      </c>
      <c r="AW107" s="19">
        <f>IF(5 = R107, F107 * -1, F107)</f>
        <v>-0</v>
      </c>
      <c r="AX107" s="19">
        <f>IF(5 = R107, G107 * -1, G107)</f>
        <v>-0</v>
      </c>
      <c r="AY107" s="19">
        <f>IF(5 = R107, H107 * -1, H107)</f>
        <v>-0</v>
      </c>
      <c r="AZ107" s="19">
        <f>IF(5 = R107, I107 * -1, I107)</f>
        <v>-124834.3</v>
      </c>
      <c r="BA107" s="19">
        <f>IF(5 = R107, J107 * -1, J107)</f>
        <v>-55416.95</v>
      </c>
      <c r="BB107" s="19">
        <v>0.0</v>
      </c>
      <c r="BC107" s="19">
        <f>IF(5 = R107, K107 * -1, K107)</f>
        <v>-0</v>
      </c>
      <c r="BD107" s="19">
        <v>0.0</v>
      </c>
      <c r="BE107" s="19">
        <f>IF(5 = R107, L107 * -1, L107)</f>
        <v>-0</v>
      </c>
      <c r="BF107" s="19">
        <f>IF(5 = R107, M107 * -1, M107)</f>
        <v>-0</v>
      </c>
      <c r="BG107" s="19">
        <f>IF(5 = R107, N107 * -1, N107)</f>
        <v>-0</v>
      </c>
      <c r="BH107" s="19">
        <f>IF(5 = R107, O107 * -1, O107)</f>
        <v>-180251.25</v>
      </c>
      <c r="BI107" s="19">
        <f>IF(5 = R107, P107 * -1, P107)</f>
        <v>-0</v>
      </c>
    </row>
    <row r="108" spans="1:90">
      <c r="A108" s="9" t="s">
        <v>237</v>
      </c>
      <c r="B108" s="18" t="s">
        <v>238</v>
      </c>
      <c r="C108" s="20">
        <v>0.0</v>
      </c>
      <c r="D108" s="20">
        <v>0.0</v>
      </c>
      <c r="E108" s="20">
        <v>0.0</v>
      </c>
      <c r="F108" s="20">
        <v>0.0</v>
      </c>
      <c r="G108" s="20">
        <v>0.0</v>
      </c>
      <c r="H108" s="20">
        <v>0.0</v>
      </c>
      <c r="I108" s="20">
        <v>0.0</v>
      </c>
      <c r="J108" s="20">
        <v>6487.27</v>
      </c>
      <c r="K108" s="20">
        <v>0.0</v>
      </c>
      <c r="L108" s="20">
        <v>95.0</v>
      </c>
      <c r="M108" s="20">
        <v>0.0</v>
      </c>
      <c r="N108" s="20">
        <v>0.0</v>
      </c>
      <c r="O108" s="20">
        <v>6582.27</v>
      </c>
      <c r="P108" s="20">
        <v>95.0</v>
      </c>
      <c r="R108" s="19">
        <v>5.0</v>
      </c>
      <c r="V108" s="19">
        <v>100017.0</v>
      </c>
      <c r="W108" s="19">
        <v>100128578.0</v>
      </c>
      <c r="X108" s="18" t="s">
        <v>235</v>
      </c>
      <c r="Y108" s="18" t="s">
        <v>235</v>
      </c>
      <c r="Z108" s="18" t="s">
        <v>236</v>
      </c>
      <c r="AA108" s="18" t="s">
        <v>238</v>
      </c>
      <c r="AB108" s="19">
        <v>6190.0</v>
      </c>
      <c r="AC108" s="19">
        <v>1.0</v>
      </c>
      <c r="AD108" s="19">
        <v>6473.0</v>
      </c>
      <c r="AE108" s="19">
        <v>5.0</v>
      </c>
      <c r="AF108" s="18" t="s">
        <v>135</v>
      </c>
      <c r="AG108" s="19">
        <v>5.0</v>
      </c>
      <c r="AH108" s="19">
        <v>-1.0</v>
      </c>
      <c r="AI108" s="19">
        <v>2241.0</v>
      </c>
      <c r="AJ108" s="19">
        <v>2.0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95.0</v>
      </c>
      <c r="AR108" s="19">
        <v>0.0</v>
      </c>
      <c r="AS108" s="19">
        <v>0.0</v>
      </c>
      <c r="AT108" s="19">
        <f>IF(5 = R108, C108 * -1, C108)</f>
        <v>-0</v>
      </c>
      <c r="AU108" s="19">
        <f>IF(5 = R108, D108 * -1, D108)</f>
        <v>-0</v>
      </c>
      <c r="AV108" s="19">
        <f>IF(5 = R108, E108 * -1, E108)</f>
        <v>-0</v>
      </c>
      <c r="AW108" s="19">
        <f>IF(5 = R108, F108 * -1, F108)</f>
        <v>-0</v>
      </c>
      <c r="AX108" s="19">
        <f>IF(5 = R108, G108 * -1, G108)</f>
        <v>-0</v>
      </c>
      <c r="AY108" s="19">
        <f>IF(5 = R108, H108 * -1, H108)</f>
        <v>-0</v>
      </c>
      <c r="AZ108" s="19">
        <f>IF(5 = R108, I108 * -1, I108)</f>
        <v>-0</v>
      </c>
      <c r="BA108" s="19">
        <f>IF(5 = R108, J108 * -1, J108)</f>
        <v>-6487.27</v>
      </c>
      <c r="BB108" s="19">
        <v>0.0</v>
      </c>
      <c r="BC108" s="19">
        <f>IF(5 = R108, K108 * -1, K108)</f>
        <v>-0</v>
      </c>
      <c r="BD108" s="19">
        <v>-95.0</v>
      </c>
      <c r="BE108" s="19">
        <f>IF(5 = R108, L108 * -1, L108)</f>
        <v>-95</v>
      </c>
      <c r="BF108" s="19">
        <f>IF(5 = R108, M108 * -1, M108)</f>
        <v>-0</v>
      </c>
      <c r="BG108" s="19">
        <f>IF(5 = R108, N108 * -1, N108)</f>
        <v>-0</v>
      </c>
      <c r="BH108" s="19">
        <f>IF(5 = R108, O108 * -1, O108)</f>
        <v>-6582.27</v>
      </c>
      <c r="BI108" s="19">
        <f>IF(5 = R108, P108 * -1, P108)</f>
        <v>-95</v>
      </c>
    </row>
    <row r="109" spans="1:90">
      <c r="A109" s="9" t="s">
        <v>239</v>
      </c>
      <c r="B109" s="18" t="s">
        <v>240</v>
      </c>
      <c r="C109" s="20">
        <v>0.0</v>
      </c>
      <c r="D109" s="20">
        <v>0.0</v>
      </c>
      <c r="E109" s="20">
        <v>0.0</v>
      </c>
      <c r="F109" s="20">
        <v>0.0</v>
      </c>
      <c r="G109" s="20">
        <v>0.0</v>
      </c>
      <c r="H109" s="20">
        <v>0.0</v>
      </c>
      <c r="I109" s="20">
        <v>11235.0</v>
      </c>
      <c r="J109" s="20">
        <v>69517.65</v>
      </c>
      <c r="K109" s="20">
        <v>0.0</v>
      </c>
      <c r="L109" s="20">
        <v>0.0</v>
      </c>
      <c r="M109" s="20">
        <v>0.0</v>
      </c>
      <c r="N109" s="20">
        <v>0.0</v>
      </c>
      <c r="O109" s="20">
        <v>80752.65</v>
      </c>
      <c r="P109" s="20">
        <v>0.0</v>
      </c>
      <c r="R109" s="19">
        <v>5.0</v>
      </c>
      <c r="V109" s="19">
        <v>100017.0</v>
      </c>
      <c r="W109" s="19">
        <v>100128578.0</v>
      </c>
      <c r="X109" s="18" t="s">
        <v>235</v>
      </c>
      <c r="Y109" s="18" t="s">
        <v>235</v>
      </c>
      <c r="Z109" s="18" t="s">
        <v>236</v>
      </c>
      <c r="AA109" s="18" t="s">
        <v>240</v>
      </c>
      <c r="AB109" s="19">
        <v>6210.0</v>
      </c>
      <c r="AC109" s="19">
        <v>1.0</v>
      </c>
      <c r="AD109" s="19">
        <v>6474.0</v>
      </c>
      <c r="AE109" s="19">
        <v>6.0</v>
      </c>
      <c r="AF109" s="18" t="s">
        <v>135</v>
      </c>
      <c r="AG109" s="19">
        <v>5.0</v>
      </c>
      <c r="AH109" s="19">
        <v>-1.0</v>
      </c>
      <c r="AI109" s="19">
        <v>2241.0</v>
      </c>
      <c r="AJ109" s="19">
        <v>2.0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11235.0</v>
      </c>
      <c r="AP109" s="19">
        <v>1.0</v>
      </c>
      <c r="AQ109" s="19">
        <v>0.0</v>
      </c>
      <c r="AR109" s="19">
        <v>0.0</v>
      </c>
      <c r="AS109" s="19">
        <v>0.0</v>
      </c>
      <c r="AT109" s="19">
        <f>IF(5 = R109, C109 * -1, C109)</f>
        <v>-0</v>
      </c>
      <c r="AU109" s="19">
        <f>IF(5 = R109, D109 * -1, D109)</f>
        <v>-0</v>
      </c>
      <c r="AV109" s="19">
        <f>IF(5 = R109, E109 * -1, E109)</f>
        <v>-0</v>
      </c>
      <c r="AW109" s="19">
        <f>IF(5 = R109, F109 * -1, F109)</f>
        <v>-0</v>
      </c>
      <c r="AX109" s="19">
        <f>IF(5 = R109, G109 * -1, G109)</f>
        <v>-0</v>
      </c>
      <c r="AY109" s="19">
        <f>IF(5 = R109, H109 * -1, H109)</f>
        <v>-0</v>
      </c>
      <c r="AZ109" s="19">
        <f>IF(5 = R109, I109 * -1, I109)</f>
        <v>-11235</v>
      </c>
      <c r="BA109" s="19">
        <f>IF(5 = R109, J109 * -1, J109)</f>
        <v>-69517.65</v>
      </c>
      <c r="BB109" s="19">
        <v>0.0</v>
      </c>
      <c r="BC109" s="19">
        <f>IF(5 = R109, K109 * -1, K109)</f>
        <v>-0</v>
      </c>
      <c r="BD109" s="19">
        <v>0.0</v>
      </c>
      <c r="BE109" s="19">
        <f>IF(5 = R109, L109 * -1, L109)</f>
        <v>-0</v>
      </c>
      <c r="BF109" s="19">
        <f>IF(5 = R109, M109 * -1, M109)</f>
        <v>-0</v>
      </c>
      <c r="BG109" s="19">
        <f>IF(5 = R109, N109 * -1, N109)</f>
        <v>-0</v>
      </c>
      <c r="BH109" s="19">
        <f>IF(5 = R109, O109 * -1, O109)</f>
        <v>-80752.65</v>
      </c>
      <c r="BI109" s="19">
        <f>IF(5 = R109, P109 * -1, P109)</f>
        <v>-0</v>
      </c>
    </row>
    <row r="110" spans="1:90">
      <c r="A110" s="9" t="s">
        <v>241</v>
      </c>
      <c r="B110" s="18" t="s">
        <v>242</v>
      </c>
      <c r="C110" s="20">
        <v>0.0</v>
      </c>
      <c r="D110" s="20">
        <v>0.0</v>
      </c>
      <c r="E110" s="20">
        <v>0.0</v>
      </c>
      <c r="F110" s="20">
        <v>0.0</v>
      </c>
      <c r="G110" s="20">
        <v>0.0</v>
      </c>
      <c r="H110" s="20">
        <v>0.0</v>
      </c>
      <c r="I110" s="20">
        <v>0.0</v>
      </c>
      <c r="J110" s="20">
        <v>0.0</v>
      </c>
      <c r="K110" s="20">
        <v>0.0</v>
      </c>
      <c r="L110" s="20">
        <v>0.0</v>
      </c>
      <c r="M110" s="20">
        <v>0.0</v>
      </c>
      <c r="N110" s="20">
        <v>7320.0</v>
      </c>
      <c r="O110" s="20">
        <v>7320.0</v>
      </c>
      <c r="P110" s="20">
        <v>7320.0</v>
      </c>
      <c r="R110" s="19">
        <v>5.0</v>
      </c>
      <c r="V110" s="19">
        <v>100017.0</v>
      </c>
      <c r="W110" s="19">
        <v>100128578.0</v>
      </c>
      <c r="X110" s="18" t="s">
        <v>235</v>
      </c>
      <c r="Y110" s="18" t="s">
        <v>235</v>
      </c>
      <c r="Z110" s="18" t="s">
        <v>236</v>
      </c>
      <c r="AA110" s="18" t="s">
        <v>242</v>
      </c>
      <c r="AB110" s="19">
        <v>6840.0</v>
      </c>
      <c r="AC110" s="19">
        <v>1.0</v>
      </c>
      <c r="AD110" s="19">
        <v>6511.0</v>
      </c>
      <c r="AE110" s="19">
        <v>10.0</v>
      </c>
      <c r="AF110" s="18" t="s">
        <v>135</v>
      </c>
      <c r="AG110" s="19">
        <v>5.0</v>
      </c>
      <c r="AH110" s="19">
        <v>-1.0</v>
      </c>
      <c r="AI110" s="19">
        <v>2241.0</v>
      </c>
      <c r="AJ110" s="19">
        <v>2.0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2.0</v>
      </c>
      <c r="AS110" s="19">
        <v>0.0</v>
      </c>
      <c r="AT110" s="19">
        <f>IF(5 = R110, C110 * -1, C110)</f>
        <v>-0</v>
      </c>
      <c r="AU110" s="19">
        <f>IF(5 = R110, D110 * -1, D110)</f>
        <v>-0</v>
      </c>
      <c r="AV110" s="19">
        <f>IF(5 = R110, E110 * -1, E110)</f>
        <v>-0</v>
      </c>
      <c r="AW110" s="19">
        <f>IF(5 = R110, F110 * -1, F110)</f>
        <v>-0</v>
      </c>
      <c r="AX110" s="19">
        <f>IF(5 = R110, G110 * -1, G110)</f>
        <v>-0</v>
      </c>
      <c r="AY110" s="19">
        <f>IF(5 = R110, H110 * -1, H110)</f>
        <v>-0</v>
      </c>
      <c r="AZ110" s="19">
        <f>IF(5 = R110, I110 * -1, I110)</f>
        <v>-0</v>
      </c>
      <c r="BA110" s="19">
        <f>IF(5 = R110, J110 * -1, J110)</f>
        <v>-0</v>
      </c>
      <c r="BB110" s="19">
        <v>0.0</v>
      </c>
      <c r="BC110" s="19">
        <f>IF(5 = R110, K110 * -1, K110)</f>
        <v>-0</v>
      </c>
      <c r="BD110" s="19">
        <v>0.0</v>
      </c>
      <c r="BE110" s="19">
        <f>IF(5 = R110, L110 * -1, L110)</f>
        <v>-0</v>
      </c>
      <c r="BF110" s="19">
        <f>IF(5 = R110, M110 * -1, M110)</f>
        <v>-0</v>
      </c>
      <c r="BG110" s="19">
        <f>IF(5 = R110, N110 * -1, N110)</f>
        <v>-7320</v>
      </c>
      <c r="BH110" s="19">
        <f>IF(5 = R110, O110 * -1, O110)</f>
        <v>-7320</v>
      </c>
      <c r="BI110" s="19">
        <f>IF(5 = R110, P110 * -1, P110)</f>
        <v>-7320</v>
      </c>
    </row>
    <row r="111" spans="1:90">
      <c r="B111" s="7" t="s">
        <v>232</v>
      </c>
      <c r="C111" s="12">
        <f>IF(5 = R111, AT111 * -1, AT111)</f>
        <v>-0</v>
      </c>
      <c r="D111" s="12">
        <f>IF(5 = R111, AU111 * -1, AU111)</f>
        <v>-0</v>
      </c>
      <c r="E111" s="12">
        <f>IF(5 = R111, AV111 * -1, AV111)</f>
        <v>-0</v>
      </c>
      <c r="F111" s="12">
        <f>IF(5 = R111, AW111 * -1, AW111)</f>
        <v>-0</v>
      </c>
      <c r="G111" s="12">
        <f>IF(5 = R111, AX111 * -1, AX111)</f>
        <v>-0</v>
      </c>
      <c r="H111" s="12">
        <f>IF(5 = R111, AY111 * -1, AY111)</f>
        <v>-0</v>
      </c>
      <c r="I111" s="12">
        <f>IF(5 = R111, AZ111 * -1, AZ111)</f>
        <v>136069.3</v>
      </c>
      <c r="J111" s="12">
        <f>IF(5 = R111, BA111 * -1, BA111)</f>
        <v>131421.87</v>
      </c>
      <c r="K111" s="12">
        <f>IF(5 = R111, BC111 * -1, BC111)</f>
        <v>-0</v>
      </c>
      <c r="L111" s="12">
        <f>IF(5 = R111, BE111 * -1, BE111)</f>
        <v>95</v>
      </c>
      <c r="M111" s="12">
        <f>IF(5 = R111, BF111 * -1, BF111)</f>
        <v>-0</v>
      </c>
      <c r="N111" s="12">
        <f>IF(5 = R111, BG111 * -1, BG111)</f>
        <v>7320</v>
      </c>
      <c r="O111" s="12">
        <f>IF(5 = R111, BH111 * -1, BH111)</f>
        <v>274906.17</v>
      </c>
      <c r="P111" s="12">
        <f>IF(5 = R111, BI111 * -1, BI111)</f>
        <v>7415</v>
      </c>
      <c r="R111" s="11">
        <v>5</v>
      </c>
      <c r="S111" s="13">
        <f>S110</f>
        <v>0</v>
      </c>
      <c r="T111" s="13">
        <f>T110</f>
        <v>0</v>
      </c>
      <c r="U111" s="11">
        <f>U110</f>
        <v>0</v>
      </c>
      <c r="V111" s="19"/>
      <c r="W111" s="19"/>
      <c r="X111" s="18"/>
      <c r="Y111" s="18"/>
      <c r="Z111" s="18"/>
      <c r="AA111" s="18"/>
      <c r="AB111" s="19"/>
      <c r="AC111" s="19"/>
      <c r="AD111" s="19"/>
      <c r="AE111" s="19"/>
      <c r="AF111" s="18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1">
        <f>SUM(AT107:AT110)</f>
        <v>0</v>
      </c>
      <c r="AU111" s="11">
        <f>SUM(AU107:AU110)</f>
        <v>0</v>
      </c>
      <c r="AV111" s="11">
        <f>SUM(AV107:AV110)</f>
        <v>0</v>
      </c>
      <c r="AW111" s="11">
        <f>SUM(AW107:AW110)</f>
        <v>0</v>
      </c>
      <c r="AX111" s="11">
        <f>SUM(AX107:AX110)</f>
        <v>0</v>
      </c>
      <c r="AY111" s="11">
        <f>SUM(AY107:AY110)</f>
        <v>0</v>
      </c>
      <c r="AZ111" s="11">
        <f>SUM(AZ107:AZ110)</f>
        <v>-136069.3</v>
      </c>
      <c r="BA111" s="11">
        <f>SUM(BA107:BA110)</f>
        <v>-131421.87</v>
      </c>
      <c r="BB111" s="19"/>
      <c r="BC111" s="11">
        <f>SUM(BC107:BC110)</f>
        <v>0</v>
      </c>
      <c r="BD111" s="19"/>
      <c r="BE111" s="11">
        <f>SUM(BE107:BE110)</f>
        <v>-95</v>
      </c>
      <c r="BF111" s="11">
        <f>SUM(BF107:BF110)</f>
        <v>0</v>
      </c>
      <c r="BG111" s="11">
        <f>SUM(BG107:BG110)</f>
        <v>-7320</v>
      </c>
      <c r="BH111" s="11">
        <f>SUM(BH107:BH110)</f>
        <v>-274906.17</v>
      </c>
      <c r="BI111" s="11">
        <f>SUM(BI107:BI110)</f>
        <v>-7415</v>
      </c>
    </row>
    <row r="112" spans="1:90">
      <c r="B112" s="18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R112" s="19"/>
      <c r="V112" s="19"/>
      <c r="W112" s="19"/>
      <c r="X112" s="18"/>
      <c r="Y112" s="18"/>
      <c r="Z112" s="18"/>
      <c r="AA112" s="18"/>
      <c r="AB112" s="19"/>
      <c r="AC112" s="19"/>
      <c r="AD112" s="19"/>
      <c r="AE112" s="19"/>
      <c r="AF112" s="18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spans="1:90">
      <c r="A113" s="8" t="s">
        <v>243</v>
      </c>
      <c r="B113" s="18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R113" s="19"/>
      <c r="V113" s="19"/>
      <c r="W113" s="19"/>
      <c r="X113" s="18"/>
      <c r="Y113" s="18"/>
      <c r="Z113" s="18"/>
      <c r="AA113" s="18"/>
      <c r="AB113" s="19"/>
      <c r="AC113" s="19"/>
      <c r="AD113" s="19"/>
      <c r="AE113" s="19"/>
      <c r="AF113" s="18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spans="1:90">
      <c r="A114" s="9" t="s">
        <v>244</v>
      </c>
      <c r="B114" s="18" t="s">
        <v>245</v>
      </c>
      <c r="C114" s="20">
        <v>0.0</v>
      </c>
      <c r="D114" s="20">
        <v>0.0</v>
      </c>
      <c r="E114" s="20">
        <v>0.0</v>
      </c>
      <c r="F114" s="20">
        <v>0.0</v>
      </c>
      <c r="G114" s="20">
        <v>0.0</v>
      </c>
      <c r="H114" s="20">
        <v>0.0</v>
      </c>
      <c r="I114" s="20">
        <v>0.0</v>
      </c>
      <c r="J114" s="20">
        <v>14755.0</v>
      </c>
      <c r="K114" s="20">
        <v>1062.0</v>
      </c>
      <c r="L114" s="20">
        <v>940.0</v>
      </c>
      <c r="M114" s="20">
        <v>500.0</v>
      </c>
      <c r="N114" s="20">
        <v>110.0</v>
      </c>
      <c r="O114" s="20">
        <v>17367.0</v>
      </c>
      <c r="P114" s="20">
        <v>2612.0</v>
      </c>
      <c r="R114" s="19">
        <v>5.0</v>
      </c>
      <c r="V114" s="19">
        <v>100017.0</v>
      </c>
      <c r="W114" s="19">
        <v>100128578.0</v>
      </c>
      <c r="X114" s="18" t="s">
        <v>246</v>
      </c>
      <c r="Y114" s="18" t="s">
        <v>246</v>
      </c>
      <c r="Z114" s="18" t="s">
        <v>247</v>
      </c>
      <c r="AA114" s="18" t="s">
        <v>245</v>
      </c>
      <c r="AB114" s="19">
        <v>6310.0</v>
      </c>
      <c r="AC114" s="19">
        <v>1.0</v>
      </c>
      <c r="AD114" s="19">
        <v>6478.0</v>
      </c>
      <c r="AE114" s="19">
        <v>0.0</v>
      </c>
      <c r="AF114" s="18" t="s">
        <v>135</v>
      </c>
      <c r="AG114" s="19">
        <v>5.0</v>
      </c>
      <c r="AH114" s="19">
        <v>-1.0</v>
      </c>
      <c r="AI114" s="19">
        <v>2242.0</v>
      </c>
      <c r="AJ114" s="19">
        <v>6.0</v>
      </c>
      <c r="AK114" s="19">
        <v>0.0</v>
      </c>
      <c r="AL114" s="19">
        <v>0.0</v>
      </c>
      <c r="AM114" s="19">
        <v>0.0</v>
      </c>
      <c r="AN114" s="19">
        <v>0.0</v>
      </c>
      <c r="AO114" s="19">
        <v>0.0</v>
      </c>
      <c r="AP114" s="19">
        <v>0.0</v>
      </c>
      <c r="AQ114" s="19">
        <v>940.0</v>
      </c>
      <c r="AR114" s="19">
        <v>1.0</v>
      </c>
      <c r="AS114" s="19">
        <v>0.0</v>
      </c>
      <c r="AT114" s="19">
        <f>IF(5 = R114, C114 * -1, C114)</f>
        <v>-0</v>
      </c>
      <c r="AU114" s="19">
        <f>IF(5 = R114, D114 * -1, D114)</f>
        <v>-0</v>
      </c>
      <c r="AV114" s="19">
        <f>IF(5 = R114, E114 * -1, E114)</f>
        <v>-0</v>
      </c>
      <c r="AW114" s="19">
        <f>IF(5 = R114, F114 * -1, F114)</f>
        <v>-0</v>
      </c>
      <c r="AX114" s="19">
        <f>IF(5 = R114, G114 * -1, G114)</f>
        <v>-0</v>
      </c>
      <c r="AY114" s="19">
        <f>IF(5 = R114, H114 * -1, H114)</f>
        <v>-0</v>
      </c>
      <c r="AZ114" s="19">
        <f>IF(5 = R114, I114 * -1, I114)</f>
        <v>-0</v>
      </c>
      <c r="BA114" s="19">
        <f>IF(5 = R114, J114 * -1, J114)</f>
        <v>-14755</v>
      </c>
      <c r="BB114" s="19">
        <v>-1062.0</v>
      </c>
      <c r="BC114" s="19">
        <f>IF(5 = R114, K114 * -1, K114)</f>
        <v>-1062</v>
      </c>
      <c r="BD114" s="19">
        <v>-940.0</v>
      </c>
      <c r="BE114" s="19">
        <f>IF(5 = R114, L114 * -1, L114)</f>
        <v>-940</v>
      </c>
      <c r="BF114" s="19">
        <f>IF(5 = R114, M114 * -1, M114)</f>
        <v>-500</v>
      </c>
      <c r="BG114" s="19">
        <f>IF(5 = R114, N114 * -1, N114)</f>
        <v>-110</v>
      </c>
      <c r="BH114" s="19">
        <f>IF(5 = R114, O114 * -1, O114)</f>
        <v>-17367</v>
      </c>
      <c r="BI114" s="19">
        <f>IF(5 = R114, P114 * -1, P114)</f>
        <v>-2612</v>
      </c>
    </row>
    <row r="115" spans="1:90">
      <c r="A115" s="9" t="s">
        <v>248</v>
      </c>
      <c r="B115" s="18" t="s">
        <v>249</v>
      </c>
      <c r="C115" s="20">
        <v>0.0</v>
      </c>
      <c r="D115" s="20">
        <v>0.0</v>
      </c>
      <c r="E115" s="20">
        <v>0.0</v>
      </c>
      <c r="F115" s="20">
        <v>0.0</v>
      </c>
      <c r="G115" s="20">
        <v>0.0</v>
      </c>
      <c r="H115" s="20">
        <v>0.0</v>
      </c>
      <c r="I115" s="20">
        <v>0.0</v>
      </c>
      <c r="J115" s="20">
        <v>29224.9</v>
      </c>
      <c r="K115" s="20">
        <v>2000.0</v>
      </c>
      <c r="L115" s="20">
        <v>0.0</v>
      </c>
      <c r="M115" s="20">
        <v>425.0</v>
      </c>
      <c r="N115" s="20">
        <v>950.0</v>
      </c>
      <c r="O115" s="20">
        <v>32599.9</v>
      </c>
      <c r="P115" s="20">
        <v>3375.0</v>
      </c>
      <c r="R115" s="19">
        <v>5.0</v>
      </c>
      <c r="V115" s="19">
        <v>100017.0</v>
      </c>
      <c r="W115" s="19">
        <v>100128578.0</v>
      </c>
      <c r="X115" s="18" t="s">
        <v>246</v>
      </c>
      <c r="Y115" s="18" t="s">
        <v>246</v>
      </c>
      <c r="Z115" s="18" t="s">
        <v>247</v>
      </c>
      <c r="AA115" s="18" t="s">
        <v>249</v>
      </c>
      <c r="AB115" s="19">
        <v>6320.0</v>
      </c>
      <c r="AC115" s="19">
        <v>1.0</v>
      </c>
      <c r="AD115" s="19">
        <v>6479.0</v>
      </c>
      <c r="AE115" s="19">
        <v>1.0</v>
      </c>
      <c r="AF115" s="18" t="s">
        <v>135</v>
      </c>
      <c r="AG115" s="19">
        <v>5.0</v>
      </c>
      <c r="AH115" s="19">
        <v>-1.0</v>
      </c>
      <c r="AI115" s="19">
        <v>2242.0</v>
      </c>
      <c r="AJ115" s="19">
        <v>5.0</v>
      </c>
      <c r="AK115" s="19">
        <v>0.0</v>
      </c>
      <c r="AL115" s="19">
        <v>0.0</v>
      </c>
      <c r="AM115" s="19">
        <v>0.0</v>
      </c>
      <c r="AN115" s="19">
        <v>0.0</v>
      </c>
      <c r="AO115" s="19">
        <v>0.0</v>
      </c>
      <c r="AP115" s="19">
        <v>0.0</v>
      </c>
      <c r="AQ115" s="19">
        <v>0.0</v>
      </c>
      <c r="AR115" s="19">
        <v>1.0</v>
      </c>
      <c r="AS115" s="19">
        <v>0.0</v>
      </c>
      <c r="AT115" s="19">
        <f>IF(5 = R115, C115 * -1, C115)</f>
        <v>-0</v>
      </c>
      <c r="AU115" s="19">
        <f>IF(5 = R115, D115 * -1, D115)</f>
        <v>-0</v>
      </c>
      <c r="AV115" s="19">
        <f>IF(5 = R115, E115 * -1, E115)</f>
        <v>-0</v>
      </c>
      <c r="AW115" s="19">
        <f>IF(5 = R115, F115 * -1, F115)</f>
        <v>-0</v>
      </c>
      <c r="AX115" s="19">
        <f>IF(5 = R115, G115 * -1, G115)</f>
        <v>-0</v>
      </c>
      <c r="AY115" s="19">
        <f>IF(5 = R115, H115 * -1, H115)</f>
        <v>-0</v>
      </c>
      <c r="AZ115" s="19">
        <f>IF(5 = R115, I115 * -1, I115)</f>
        <v>-0</v>
      </c>
      <c r="BA115" s="19">
        <f>IF(5 = R115, J115 * -1, J115)</f>
        <v>-29224.9</v>
      </c>
      <c r="BB115" s="19">
        <v>-2000.0</v>
      </c>
      <c r="BC115" s="19">
        <f>IF(5 = R115, K115 * -1, K115)</f>
        <v>-2000</v>
      </c>
      <c r="BD115" s="19">
        <v>0.0</v>
      </c>
      <c r="BE115" s="19">
        <f>IF(5 = R115, L115 * -1, L115)</f>
        <v>-0</v>
      </c>
      <c r="BF115" s="19">
        <f>IF(5 = R115, M115 * -1, M115)</f>
        <v>-425</v>
      </c>
      <c r="BG115" s="19">
        <f>IF(5 = R115, N115 * -1, N115)</f>
        <v>-950</v>
      </c>
      <c r="BH115" s="19">
        <f>IF(5 = R115, O115 * -1, O115)</f>
        <v>-32599.9</v>
      </c>
      <c r="BI115" s="19">
        <f>IF(5 = R115, P115 * -1, P115)</f>
        <v>-3375</v>
      </c>
    </row>
    <row r="116" spans="1:90">
      <c r="A116" s="9" t="s">
        <v>250</v>
      </c>
      <c r="B116" s="18" t="s">
        <v>251</v>
      </c>
      <c r="C116" s="20">
        <v>0.0</v>
      </c>
      <c r="D116" s="20">
        <v>0.0</v>
      </c>
      <c r="E116" s="20">
        <v>0.0</v>
      </c>
      <c r="F116" s="20">
        <v>0.0</v>
      </c>
      <c r="G116" s="20">
        <v>0.0</v>
      </c>
      <c r="H116" s="20">
        <v>0.0</v>
      </c>
      <c r="I116" s="20">
        <v>0.0</v>
      </c>
      <c r="J116" s="20">
        <v>20057.6</v>
      </c>
      <c r="K116" s="20">
        <v>8162.71</v>
      </c>
      <c r="L116" s="20">
        <v>1118.22</v>
      </c>
      <c r="M116" s="20">
        <v>621.17</v>
      </c>
      <c r="N116" s="20">
        <v>524.1</v>
      </c>
      <c r="O116" s="20">
        <v>30483.8</v>
      </c>
      <c r="P116" s="20">
        <v>10426.2</v>
      </c>
      <c r="R116" s="19">
        <v>5.0</v>
      </c>
      <c r="V116" s="19">
        <v>100017.0</v>
      </c>
      <c r="W116" s="19">
        <v>100128578.0</v>
      </c>
      <c r="X116" s="18" t="s">
        <v>246</v>
      </c>
      <c r="Y116" s="18" t="s">
        <v>246</v>
      </c>
      <c r="Z116" s="18" t="s">
        <v>247</v>
      </c>
      <c r="AA116" s="18" t="s">
        <v>251</v>
      </c>
      <c r="AB116" s="19">
        <v>6330.0</v>
      </c>
      <c r="AC116" s="19">
        <v>1.0</v>
      </c>
      <c r="AD116" s="19">
        <v>6480.0</v>
      </c>
      <c r="AE116" s="19">
        <v>2.0</v>
      </c>
      <c r="AF116" s="18" t="s">
        <v>135</v>
      </c>
      <c r="AG116" s="19">
        <v>5.0</v>
      </c>
      <c r="AH116" s="19">
        <v>-1.0</v>
      </c>
      <c r="AI116" s="19">
        <v>2242.0</v>
      </c>
      <c r="AJ116" s="19">
        <v>6.0</v>
      </c>
      <c r="AK116" s="19">
        <v>0.0</v>
      </c>
      <c r="AL116" s="19">
        <v>0.0</v>
      </c>
      <c r="AM116" s="19">
        <v>0.0</v>
      </c>
      <c r="AN116" s="19">
        <v>0.0</v>
      </c>
      <c r="AO116" s="19">
        <v>0.0</v>
      </c>
      <c r="AP116" s="19">
        <v>0.0</v>
      </c>
      <c r="AQ116" s="19">
        <v>1118.22</v>
      </c>
      <c r="AR116" s="19">
        <v>1.0</v>
      </c>
      <c r="AS116" s="19">
        <v>0.0</v>
      </c>
      <c r="AT116" s="19">
        <f>IF(5 = R116, C116 * -1, C116)</f>
        <v>-0</v>
      </c>
      <c r="AU116" s="19">
        <f>IF(5 = R116, D116 * -1, D116)</f>
        <v>-0</v>
      </c>
      <c r="AV116" s="19">
        <f>IF(5 = R116, E116 * -1, E116)</f>
        <v>-0</v>
      </c>
      <c r="AW116" s="19">
        <f>IF(5 = R116, F116 * -1, F116)</f>
        <v>-0</v>
      </c>
      <c r="AX116" s="19">
        <f>IF(5 = R116, G116 * -1, G116)</f>
        <v>-0</v>
      </c>
      <c r="AY116" s="19">
        <f>IF(5 = R116, H116 * -1, H116)</f>
        <v>-0</v>
      </c>
      <c r="AZ116" s="19">
        <f>IF(5 = R116, I116 * -1, I116)</f>
        <v>-0</v>
      </c>
      <c r="BA116" s="19">
        <f>IF(5 = R116, J116 * -1, J116)</f>
        <v>-20057.6</v>
      </c>
      <c r="BB116" s="19">
        <v>-8162.71</v>
      </c>
      <c r="BC116" s="19">
        <f>IF(5 = R116, K116 * -1, K116)</f>
        <v>-8162.71</v>
      </c>
      <c r="BD116" s="19">
        <v>-1118.22</v>
      </c>
      <c r="BE116" s="19">
        <f>IF(5 = R116, L116 * -1, L116)</f>
        <v>-1118.22</v>
      </c>
      <c r="BF116" s="19">
        <f>IF(5 = R116, M116 * -1, M116)</f>
        <v>-621.17</v>
      </c>
      <c r="BG116" s="19">
        <f>IF(5 = R116, N116 * -1, N116)</f>
        <v>-524.1</v>
      </c>
      <c r="BH116" s="19">
        <f>IF(5 = R116, O116 * -1, O116)</f>
        <v>-30483.8</v>
      </c>
      <c r="BI116" s="19">
        <f>IF(5 = R116, P116 * -1, P116)</f>
        <v>-10426.2</v>
      </c>
    </row>
    <row r="117" spans="1:90">
      <c r="A117" s="9" t="s">
        <v>252</v>
      </c>
      <c r="B117" s="18" t="s">
        <v>253</v>
      </c>
      <c r="C117" s="20">
        <v>0.0</v>
      </c>
      <c r="D117" s="20">
        <v>0.0</v>
      </c>
      <c r="E117" s="20">
        <v>0.0</v>
      </c>
      <c r="F117" s="20">
        <v>0.0</v>
      </c>
      <c r="G117" s="20">
        <v>0.0</v>
      </c>
      <c r="H117" s="20">
        <v>0.0</v>
      </c>
      <c r="I117" s="20">
        <v>0.0</v>
      </c>
      <c r="J117" s="20">
        <v>900.0</v>
      </c>
      <c r="K117" s="20">
        <v>0.0</v>
      </c>
      <c r="L117" s="20">
        <v>0.0</v>
      </c>
      <c r="M117" s="20">
        <v>0.0</v>
      </c>
      <c r="N117" s="20">
        <v>0.0</v>
      </c>
      <c r="O117" s="20">
        <v>900.0</v>
      </c>
      <c r="P117" s="20">
        <v>0.0</v>
      </c>
      <c r="R117" s="19">
        <v>5.0</v>
      </c>
      <c r="V117" s="19">
        <v>100017.0</v>
      </c>
      <c r="W117" s="19">
        <v>100128578.0</v>
      </c>
      <c r="X117" s="18" t="s">
        <v>246</v>
      </c>
      <c r="Y117" s="18" t="s">
        <v>246</v>
      </c>
      <c r="Z117" s="18" t="s">
        <v>247</v>
      </c>
      <c r="AA117" s="18" t="s">
        <v>253</v>
      </c>
      <c r="AB117" s="19">
        <v>6340.0</v>
      </c>
      <c r="AC117" s="19">
        <v>1.0</v>
      </c>
      <c r="AD117" s="19">
        <v>6481.0</v>
      </c>
      <c r="AE117" s="19">
        <v>3.0</v>
      </c>
      <c r="AF117" s="18" t="s">
        <v>135</v>
      </c>
      <c r="AG117" s="19">
        <v>5.0</v>
      </c>
      <c r="AH117" s="19">
        <v>-1.0</v>
      </c>
      <c r="AI117" s="19">
        <v>2242.0</v>
      </c>
      <c r="AJ117" s="19">
        <v>1.0</v>
      </c>
      <c r="AK117" s="19">
        <v>0.0</v>
      </c>
      <c r="AL117" s="19">
        <v>0.0</v>
      </c>
      <c r="AM117" s="19">
        <v>0.0</v>
      </c>
      <c r="AN117" s="19">
        <v>0.0</v>
      </c>
      <c r="AO117" s="19">
        <v>0.0</v>
      </c>
      <c r="AP117" s="19">
        <v>0.0</v>
      </c>
      <c r="AQ117" s="19">
        <v>0.0</v>
      </c>
      <c r="AR117" s="19">
        <v>0.0</v>
      </c>
      <c r="AS117" s="19">
        <v>0.0</v>
      </c>
      <c r="AT117" s="19">
        <f>IF(5 = R117, C117 * -1, C117)</f>
        <v>-0</v>
      </c>
      <c r="AU117" s="19">
        <f>IF(5 = R117, D117 * -1, D117)</f>
        <v>-0</v>
      </c>
      <c r="AV117" s="19">
        <f>IF(5 = R117, E117 * -1, E117)</f>
        <v>-0</v>
      </c>
      <c r="AW117" s="19">
        <f>IF(5 = R117, F117 * -1, F117)</f>
        <v>-0</v>
      </c>
      <c r="AX117" s="19">
        <f>IF(5 = R117, G117 * -1, G117)</f>
        <v>-0</v>
      </c>
      <c r="AY117" s="19">
        <f>IF(5 = R117, H117 * -1, H117)</f>
        <v>-0</v>
      </c>
      <c r="AZ117" s="19">
        <f>IF(5 = R117, I117 * -1, I117)</f>
        <v>-0</v>
      </c>
      <c r="BA117" s="19">
        <f>IF(5 = R117, J117 * -1, J117)</f>
        <v>-900</v>
      </c>
      <c r="BB117" s="19">
        <v>0.0</v>
      </c>
      <c r="BC117" s="19">
        <f>IF(5 = R117, K117 * -1, K117)</f>
        <v>-0</v>
      </c>
      <c r="BD117" s="19">
        <v>0.0</v>
      </c>
      <c r="BE117" s="19">
        <f>IF(5 = R117, L117 * -1, L117)</f>
        <v>-0</v>
      </c>
      <c r="BF117" s="19">
        <f>IF(5 = R117, M117 * -1, M117)</f>
        <v>-0</v>
      </c>
      <c r="BG117" s="19">
        <f>IF(5 = R117, N117 * -1, N117)</f>
        <v>-0</v>
      </c>
      <c r="BH117" s="19">
        <f>IF(5 = R117, O117 * -1, O117)</f>
        <v>-900</v>
      </c>
      <c r="BI117" s="19">
        <f>IF(5 = R117, P117 * -1, P117)</f>
        <v>-0</v>
      </c>
    </row>
    <row r="118" spans="1:90">
      <c r="B118" s="7" t="s">
        <v>243</v>
      </c>
      <c r="C118" s="12">
        <f>IF(5 = R118, AT118 * -1, AT118)</f>
        <v>-0</v>
      </c>
      <c r="D118" s="12">
        <f>IF(5 = R118, AU118 * -1, AU118)</f>
        <v>-0</v>
      </c>
      <c r="E118" s="12">
        <f>IF(5 = R118, AV118 * -1, AV118)</f>
        <v>-0</v>
      </c>
      <c r="F118" s="12">
        <f>IF(5 = R118, AW118 * -1, AW118)</f>
        <v>-0</v>
      </c>
      <c r="G118" s="12">
        <f>IF(5 = R118, AX118 * -1, AX118)</f>
        <v>-0</v>
      </c>
      <c r="H118" s="12">
        <f>IF(5 = R118, AY118 * -1, AY118)</f>
        <v>-0</v>
      </c>
      <c r="I118" s="12">
        <f>IF(5 = R118, AZ118 * -1, AZ118)</f>
        <v>-0</v>
      </c>
      <c r="J118" s="12">
        <f>IF(5 = R118, BA118 * -1, BA118)</f>
        <v>64937.5</v>
      </c>
      <c r="K118" s="12">
        <f>IF(5 = R118, BC118 * -1, BC118)</f>
        <v>11224.71</v>
      </c>
      <c r="L118" s="12">
        <f>IF(5 = R118, BE118 * -1, BE118)</f>
        <v>2058.22</v>
      </c>
      <c r="M118" s="12">
        <f>IF(5 = R118, BF118 * -1, BF118)</f>
        <v>1546.17</v>
      </c>
      <c r="N118" s="12">
        <f>IF(5 = R118, BG118 * -1, BG118)</f>
        <v>1584.1</v>
      </c>
      <c r="O118" s="12">
        <f>IF(5 = R118, BH118 * -1, BH118)</f>
        <v>81350.7</v>
      </c>
      <c r="P118" s="12">
        <f>IF(5 = R118, BI118 * -1, BI118)</f>
        <v>16413.2</v>
      </c>
      <c r="R118" s="11">
        <v>5</v>
      </c>
      <c r="S118" s="13">
        <f>S117</f>
        <v>0</v>
      </c>
      <c r="T118" s="13">
        <f>T117</f>
        <v>0</v>
      </c>
      <c r="U118" s="11">
        <f>U117</f>
        <v>0</v>
      </c>
      <c r="V118" s="19"/>
      <c r="W118" s="19"/>
      <c r="X118" s="18"/>
      <c r="Y118" s="18"/>
      <c r="Z118" s="18"/>
      <c r="AA118" s="18"/>
      <c r="AB118" s="19"/>
      <c r="AC118" s="19"/>
      <c r="AD118" s="19"/>
      <c r="AE118" s="19"/>
      <c r="AF118" s="18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1">
        <f>SUM(AT114:AT117)</f>
        <v>0</v>
      </c>
      <c r="AU118" s="11">
        <f>SUM(AU114:AU117)</f>
        <v>0</v>
      </c>
      <c r="AV118" s="11">
        <f>SUM(AV114:AV117)</f>
        <v>0</v>
      </c>
      <c r="AW118" s="11">
        <f>SUM(AW114:AW117)</f>
        <v>0</v>
      </c>
      <c r="AX118" s="11">
        <f>SUM(AX114:AX117)</f>
        <v>0</v>
      </c>
      <c r="AY118" s="11">
        <f>SUM(AY114:AY117)</f>
        <v>0</v>
      </c>
      <c r="AZ118" s="11">
        <f>SUM(AZ114:AZ117)</f>
        <v>0</v>
      </c>
      <c r="BA118" s="11">
        <f>SUM(BA114:BA117)</f>
        <v>-64937.5</v>
      </c>
      <c r="BB118" s="19"/>
      <c r="BC118" s="11">
        <f>SUM(BC114:BC117)</f>
        <v>-11224.71</v>
      </c>
      <c r="BD118" s="19"/>
      <c r="BE118" s="11">
        <f>SUM(BE114:BE117)</f>
        <v>-2058.22</v>
      </c>
      <c r="BF118" s="11">
        <f>SUM(BF114:BF117)</f>
        <v>-1546.17</v>
      </c>
      <c r="BG118" s="11">
        <f>SUM(BG114:BG117)</f>
        <v>-1584.1</v>
      </c>
      <c r="BH118" s="11">
        <f>SUM(BH114:BH117)</f>
        <v>-81350.7</v>
      </c>
      <c r="BI118" s="11">
        <f>SUM(BI114:BI117)</f>
        <v>-16413.2</v>
      </c>
    </row>
    <row r="119" spans="1:90">
      <c r="B119" s="18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R119" s="19"/>
      <c r="V119" s="19"/>
      <c r="W119" s="19"/>
      <c r="X119" s="18"/>
      <c r="Y119" s="18"/>
      <c r="Z119" s="18"/>
      <c r="AA119" s="18"/>
      <c r="AB119" s="19"/>
      <c r="AC119" s="19"/>
      <c r="AD119" s="19"/>
      <c r="AE119" s="19"/>
      <c r="AF119" s="18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</row>
    <row r="120" spans="1:90">
      <c r="A120" s="8" t="s">
        <v>254</v>
      </c>
      <c r="B120" s="18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R120" s="19"/>
      <c r="V120" s="19"/>
      <c r="W120" s="19"/>
      <c r="X120" s="18"/>
      <c r="Y120" s="18"/>
      <c r="Z120" s="18"/>
      <c r="AA120" s="18"/>
      <c r="AB120" s="19"/>
      <c r="AC120" s="19"/>
      <c r="AD120" s="19"/>
      <c r="AE120" s="19"/>
      <c r="AF120" s="18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</row>
    <row r="121" spans="1:90">
      <c r="A121" s="9" t="s">
        <v>255</v>
      </c>
      <c r="B121" s="18" t="s">
        <v>254</v>
      </c>
      <c r="C121" s="20">
        <v>0.0</v>
      </c>
      <c r="D121" s="20">
        <v>0.0</v>
      </c>
      <c r="E121" s="20">
        <v>0.0</v>
      </c>
      <c r="F121" s="20">
        <v>0.0</v>
      </c>
      <c r="G121" s="20">
        <v>0.0</v>
      </c>
      <c r="H121" s="20">
        <v>0.0</v>
      </c>
      <c r="I121" s="20">
        <v>0.0</v>
      </c>
      <c r="J121" s="20">
        <v>19877.81</v>
      </c>
      <c r="K121" s="20">
        <v>4347.37</v>
      </c>
      <c r="L121" s="20">
        <v>3781.0</v>
      </c>
      <c r="M121" s="20">
        <v>3652.0</v>
      </c>
      <c r="N121" s="20">
        <v>4314.85</v>
      </c>
      <c r="O121" s="20">
        <v>35973.03</v>
      </c>
      <c r="P121" s="20">
        <v>16095.22</v>
      </c>
      <c r="R121" s="19">
        <v>5.0</v>
      </c>
      <c r="V121" s="19">
        <v>100017.0</v>
      </c>
      <c r="W121" s="19">
        <v>100128578.0</v>
      </c>
      <c r="X121" s="18" t="s">
        <v>256</v>
      </c>
      <c r="Y121" s="18" t="s">
        <v>257</v>
      </c>
      <c r="Z121" s="18" t="s">
        <v>258</v>
      </c>
      <c r="AA121" s="18" t="s">
        <v>254</v>
      </c>
      <c r="AB121" s="19">
        <v>6410.0</v>
      </c>
      <c r="AC121" s="19">
        <v>1.0</v>
      </c>
      <c r="AD121" s="19">
        <v>6482.0</v>
      </c>
      <c r="AE121" s="19">
        <v>0.0</v>
      </c>
      <c r="AF121" s="18" t="s">
        <v>135</v>
      </c>
      <c r="AG121" s="19">
        <v>5.0</v>
      </c>
      <c r="AH121" s="19">
        <v>-1.0</v>
      </c>
      <c r="AI121" s="19">
        <v>2346.0</v>
      </c>
      <c r="AJ121" s="19">
        <v>7.0</v>
      </c>
      <c r="AK121" s="19">
        <v>0.0</v>
      </c>
      <c r="AL121" s="19">
        <v>0.0</v>
      </c>
      <c r="AM121" s="19">
        <v>0.0</v>
      </c>
      <c r="AN121" s="19">
        <v>0.0</v>
      </c>
      <c r="AO121" s="19">
        <v>0.0</v>
      </c>
      <c r="AP121" s="19">
        <v>0.0</v>
      </c>
      <c r="AQ121" s="19">
        <v>3781.0</v>
      </c>
      <c r="AR121" s="19">
        <v>1.0</v>
      </c>
      <c r="AS121" s="19">
        <v>0.0</v>
      </c>
      <c r="AT121" s="19">
        <f>IF(5 = R121, C121 * -1, C121)</f>
        <v>-0</v>
      </c>
      <c r="AU121" s="19">
        <f>IF(5 = R121, D121 * -1, D121)</f>
        <v>-0</v>
      </c>
      <c r="AV121" s="19">
        <f>IF(5 = R121, E121 * -1, E121)</f>
        <v>-0</v>
      </c>
      <c r="AW121" s="19">
        <f>IF(5 = R121, F121 * -1, F121)</f>
        <v>-0</v>
      </c>
      <c r="AX121" s="19">
        <f>IF(5 = R121, G121 * -1, G121)</f>
        <v>-0</v>
      </c>
      <c r="AY121" s="19">
        <f>IF(5 = R121, H121 * -1, H121)</f>
        <v>-0</v>
      </c>
      <c r="AZ121" s="19">
        <f>IF(5 = R121, I121 * -1, I121)</f>
        <v>-0</v>
      </c>
      <c r="BA121" s="19">
        <f>IF(5 = R121, J121 * -1, J121)</f>
        <v>-19877.81</v>
      </c>
      <c r="BB121" s="19">
        <v>-4347.37</v>
      </c>
      <c r="BC121" s="19">
        <f>IF(5 = R121, K121 * -1, K121)</f>
        <v>-4347.37</v>
      </c>
      <c r="BD121" s="19">
        <v>-3781.0</v>
      </c>
      <c r="BE121" s="19">
        <f>IF(5 = R121, L121 * -1, L121)</f>
        <v>-3781</v>
      </c>
      <c r="BF121" s="19">
        <f>IF(5 = R121, M121 * -1, M121)</f>
        <v>-3652</v>
      </c>
      <c r="BG121" s="19">
        <f>IF(5 = R121, N121 * -1, N121)</f>
        <v>-4314.85</v>
      </c>
      <c r="BH121" s="19">
        <f>IF(5 = R121, O121 * -1, O121)</f>
        <v>-35973.03</v>
      </c>
      <c r="BI121" s="19">
        <f>IF(5 = R121, P121 * -1, P121)</f>
        <v>-16095.22</v>
      </c>
    </row>
    <row r="122" spans="1:90">
      <c r="A122" s="9" t="s">
        <v>259</v>
      </c>
      <c r="B122" s="18" t="s">
        <v>260</v>
      </c>
      <c r="C122" s="20">
        <v>0.0</v>
      </c>
      <c r="D122" s="20">
        <v>0.0</v>
      </c>
      <c r="E122" s="20">
        <v>0.0</v>
      </c>
      <c r="F122" s="20">
        <v>0.0</v>
      </c>
      <c r="G122" s="20">
        <v>0.0</v>
      </c>
      <c r="H122" s="20">
        <v>0.0</v>
      </c>
      <c r="I122" s="20">
        <v>0.0</v>
      </c>
      <c r="J122" s="20">
        <v>75.0</v>
      </c>
      <c r="K122" s="20">
        <v>574.6</v>
      </c>
      <c r="L122" s="20">
        <v>0.0</v>
      </c>
      <c r="M122" s="20">
        <v>0.0</v>
      </c>
      <c r="N122" s="20">
        <v>0.0</v>
      </c>
      <c r="O122" s="20">
        <v>649.6</v>
      </c>
      <c r="P122" s="20">
        <v>574.6</v>
      </c>
      <c r="R122" s="19">
        <v>5.0</v>
      </c>
      <c r="V122" s="19">
        <v>100017.0</v>
      </c>
      <c r="W122" s="19">
        <v>100128578.0</v>
      </c>
      <c r="X122" s="18" t="s">
        <v>256</v>
      </c>
      <c r="Y122" s="18" t="s">
        <v>257</v>
      </c>
      <c r="Z122" s="18" t="s">
        <v>258</v>
      </c>
      <c r="AA122" s="18" t="s">
        <v>260</v>
      </c>
      <c r="AB122" s="19">
        <v>6410.1</v>
      </c>
      <c r="AC122" s="19">
        <v>1.0</v>
      </c>
      <c r="AD122" s="19">
        <v>6601.0</v>
      </c>
      <c r="AE122" s="19">
        <v>1.0</v>
      </c>
      <c r="AF122" s="18" t="s">
        <v>135</v>
      </c>
      <c r="AG122" s="19">
        <v>5.0</v>
      </c>
      <c r="AH122" s="19">
        <v>-1.0</v>
      </c>
      <c r="AI122" s="19">
        <v>2346.0</v>
      </c>
      <c r="AJ122" s="19">
        <v>2.0</v>
      </c>
      <c r="AK122" s="19">
        <v>0.0</v>
      </c>
      <c r="AL122" s="19">
        <v>0.0</v>
      </c>
      <c r="AM122" s="19">
        <v>0.0</v>
      </c>
      <c r="AN122" s="19">
        <v>0.0</v>
      </c>
      <c r="AO122" s="19">
        <v>0.0</v>
      </c>
      <c r="AP122" s="19">
        <v>0.0</v>
      </c>
      <c r="AQ122" s="19">
        <v>0.0</v>
      </c>
      <c r="AR122" s="19">
        <v>0.0</v>
      </c>
      <c r="AS122" s="19">
        <v>0.0</v>
      </c>
      <c r="AT122" s="19">
        <f>IF(5 = R122, C122 * -1, C122)</f>
        <v>-0</v>
      </c>
      <c r="AU122" s="19">
        <f>IF(5 = R122, D122 * -1, D122)</f>
        <v>-0</v>
      </c>
      <c r="AV122" s="19">
        <f>IF(5 = R122, E122 * -1, E122)</f>
        <v>-0</v>
      </c>
      <c r="AW122" s="19">
        <f>IF(5 = R122, F122 * -1, F122)</f>
        <v>-0</v>
      </c>
      <c r="AX122" s="19">
        <f>IF(5 = R122, G122 * -1, G122)</f>
        <v>-0</v>
      </c>
      <c r="AY122" s="19">
        <f>IF(5 = R122, H122 * -1, H122)</f>
        <v>-0</v>
      </c>
      <c r="AZ122" s="19">
        <f>IF(5 = R122, I122 * -1, I122)</f>
        <v>-0</v>
      </c>
      <c r="BA122" s="19">
        <f>IF(5 = R122, J122 * -1, J122)</f>
        <v>-75</v>
      </c>
      <c r="BB122" s="19">
        <v>-574.6</v>
      </c>
      <c r="BC122" s="19">
        <f>IF(5 = R122, K122 * -1, K122)</f>
        <v>-574.6</v>
      </c>
      <c r="BD122" s="19">
        <v>0.0</v>
      </c>
      <c r="BE122" s="19">
        <f>IF(5 = R122, L122 * -1, L122)</f>
        <v>-0</v>
      </c>
      <c r="BF122" s="19">
        <f>IF(5 = R122, M122 * -1, M122)</f>
        <v>-0</v>
      </c>
      <c r="BG122" s="19">
        <f>IF(5 = R122, N122 * -1, N122)</f>
        <v>-0</v>
      </c>
      <c r="BH122" s="19">
        <f>IF(5 = R122, O122 * -1, O122)</f>
        <v>-649.6</v>
      </c>
      <c r="BI122" s="19">
        <f>IF(5 = R122, P122 * -1, P122)</f>
        <v>-574.6</v>
      </c>
    </row>
    <row r="123" spans="1:90">
      <c r="B123" s="7" t="s">
        <v>261</v>
      </c>
      <c r="C123" s="12">
        <f>IF(5 = R123, AT123 * -1, AT123)</f>
        <v>-0</v>
      </c>
      <c r="D123" s="12">
        <f>IF(5 = R123, AU123 * -1, AU123)</f>
        <v>-0</v>
      </c>
      <c r="E123" s="12">
        <f>IF(5 = R123, AV123 * -1, AV123)</f>
        <v>-0</v>
      </c>
      <c r="F123" s="12">
        <f>IF(5 = R123, AW123 * -1, AW123)</f>
        <v>-0</v>
      </c>
      <c r="G123" s="12">
        <f>IF(5 = R123, AX123 * -1, AX123)</f>
        <v>-0</v>
      </c>
      <c r="H123" s="12">
        <f>IF(5 = R123, AY123 * -1, AY123)</f>
        <v>-0</v>
      </c>
      <c r="I123" s="12">
        <f>IF(5 = R123, AZ123 * -1, AZ123)</f>
        <v>-0</v>
      </c>
      <c r="J123" s="12">
        <f>IF(5 = R123, BA123 * -1, BA123)</f>
        <v>19952.81</v>
      </c>
      <c r="K123" s="12">
        <f>IF(5 = R123, BC123 * -1, BC123)</f>
        <v>4921.97</v>
      </c>
      <c r="L123" s="12">
        <f>IF(5 = R123, BE123 * -1, BE123)</f>
        <v>3781</v>
      </c>
      <c r="M123" s="12">
        <f>IF(5 = R123, BF123 * -1, BF123)</f>
        <v>3652</v>
      </c>
      <c r="N123" s="12">
        <f>IF(5 = R123, BG123 * -1, BG123)</f>
        <v>4314.85</v>
      </c>
      <c r="O123" s="12">
        <f>IF(5 = R123, BH123 * -1, BH123)</f>
        <v>36622.63</v>
      </c>
      <c r="P123" s="12">
        <f>IF(5 = R123, BI123 * -1, BI123)</f>
        <v>16669.82</v>
      </c>
      <c r="R123" s="11">
        <v>5</v>
      </c>
      <c r="S123" s="13">
        <f>S122</f>
        <v>0</v>
      </c>
      <c r="T123" s="13">
        <f>T122</f>
        <v>0</v>
      </c>
      <c r="U123" s="11">
        <f>U122</f>
        <v>0</v>
      </c>
      <c r="V123" s="19"/>
      <c r="W123" s="19"/>
      <c r="X123" s="18"/>
      <c r="Y123" s="18"/>
      <c r="Z123" s="18"/>
      <c r="AA123" s="18"/>
      <c r="AB123" s="19"/>
      <c r="AC123" s="19"/>
      <c r="AD123" s="19"/>
      <c r="AE123" s="19"/>
      <c r="AF123" s="18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1">
        <f>SUM(AT121:AT122)</f>
        <v>0</v>
      </c>
      <c r="AU123" s="11">
        <f>SUM(AU121:AU122)</f>
        <v>0</v>
      </c>
      <c r="AV123" s="11">
        <f>SUM(AV121:AV122)</f>
        <v>0</v>
      </c>
      <c r="AW123" s="11">
        <f>SUM(AW121:AW122)</f>
        <v>0</v>
      </c>
      <c r="AX123" s="11">
        <f>SUM(AX121:AX122)</f>
        <v>0</v>
      </c>
      <c r="AY123" s="11">
        <f>SUM(AY121:AY122)</f>
        <v>0</v>
      </c>
      <c r="AZ123" s="11">
        <f>SUM(AZ121:AZ122)</f>
        <v>0</v>
      </c>
      <c r="BA123" s="11">
        <f>SUM(BA121:BA122)</f>
        <v>-19952.81</v>
      </c>
      <c r="BB123" s="19"/>
      <c r="BC123" s="11">
        <f>SUM(BC121:BC122)</f>
        <v>-4921.97</v>
      </c>
      <c r="BD123" s="19"/>
      <c r="BE123" s="11">
        <f>SUM(BE121:BE122)</f>
        <v>-3781</v>
      </c>
      <c r="BF123" s="11">
        <f>SUM(BF121:BF122)</f>
        <v>-3652</v>
      </c>
      <c r="BG123" s="11">
        <f>SUM(BG121:BG122)</f>
        <v>-4314.85</v>
      </c>
      <c r="BH123" s="11">
        <f>SUM(BH121:BH122)</f>
        <v>-36622.63</v>
      </c>
      <c r="BI123" s="11">
        <f>SUM(BI121:BI122)</f>
        <v>-16669.82</v>
      </c>
    </row>
    <row r="124" spans="1:90">
      <c r="B124" s="18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R124" s="19"/>
      <c r="V124" s="19"/>
      <c r="W124" s="19"/>
      <c r="X124" s="18"/>
      <c r="Y124" s="18"/>
      <c r="Z124" s="18"/>
      <c r="AA124" s="18"/>
      <c r="AB124" s="19"/>
      <c r="AC124" s="19"/>
      <c r="AD124" s="19"/>
      <c r="AE124" s="19"/>
      <c r="AF124" s="18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</row>
    <row r="125" spans="1:90">
      <c r="A125" s="8" t="s">
        <v>262</v>
      </c>
      <c r="B125" s="18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R125" s="19"/>
      <c r="V125" s="19"/>
      <c r="W125" s="19"/>
      <c r="X125" s="18"/>
      <c r="Y125" s="18"/>
      <c r="Z125" s="18"/>
      <c r="AA125" s="18"/>
      <c r="AB125" s="19"/>
      <c r="AC125" s="19"/>
      <c r="AD125" s="19"/>
      <c r="AE125" s="19"/>
      <c r="AF125" s="18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spans="1:90">
      <c r="A126" s="9" t="s">
        <v>263</v>
      </c>
      <c r="B126" s="18" t="s">
        <v>264</v>
      </c>
      <c r="C126" s="20">
        <v>0.0</v>
      </c>
      <c r="D126" s="20">
        <v>0.0</v>
      </c>
      <c r="E126" s="20">
        <v>0.0</v>
      </c>
      <c r="F126" s="20">
        <v>0.0</v>
      </c>
      <c r="G126" s="20">
        <v>0.0</v>
      </c>
      <c r="H126" s="20">
        <v>0.0</v>
      </c>
      <c r="I126" s="20">
        <v>0.0</v>
      </c>
      <c r="J126" s="20">
        <v>591.4</v>
      </c>
      <c r="K126" s="20">
        <v>82.29</v>
      </c>
      <c r="L126" s="20">
        <v>222.86</v>
      </c>
      <c r="M126" s="20">
        <v>540.38</v>
      </c>
      <c r="N126" s="20">
        <v>111.43</v>
      </c>
      <c r="O126" s="20">
        <v>1548.36</v>
      </c>
      <c r="P126" s="20">
        <v>956.96</v>
      </c>
      <c r="R126" s="19">
        <v>5.0</v>
      </c>
      <c r="V126" s="19">
        <v>100017.0</v>
      </c>
      <c r="W126" s="19">
        <v>100128578.0</v>
      </c>
      <c r="X126" s="18" t="s">
        <v>265</v>
      </c>
      <c r="Y126" s="18" t="s">
        <v>265</v>
      </c>
      <c r="Z126" s="18" t="s">
        <v>266</v>
      </c>
      <c r="AA126" s="18" t="s">
        <v>264</v>
      </c>
      <c r="AB126" s="19">
        <v>6420.0</v>
      </c>
      <c r="AC126" s="19">
        <v>1.0</v>
      </c>
      <c r="AD126" s="19">
        <v>6483.0</v>
      </c>
      <c r="AE126" s="19">
        <v>0.0</v>
      </c>
      <c r="AF126" s="18" t="s">
        <v>135</v>
      </c>
      <c r="AG126" s="19">
        <v>5.0</v>
      </c>
      <c r="AH126" s="19">
        <v>-1.0</v>
      </c>
      <c r="AI126" s="19">
        <v>2243.0</v>
      </c>
      <c r="AJ126" s="19">
        <v>6.0</v>
      </c>
      <c r="AK126" s="19">
        <v>0.0</v>
      </c>
      <c r="AL126" s="19">
        <v>0.0</v>
      </c>
      <c r="AM126" s="19">
        <v>0.0</v>
      </c>
      <c r="AN126" s="19">
        <v>0.0</v>
      </c>
      <c r="AO126" s="19">
        <v>0.0</v>
      </c>
      <c r="AP126" s="19">
        <v>0.0</v>
      </c>
      <c r="AQ126" s="19">
        <v>222.86</v>
      </c>
      <c r="AR126" s="19">
        <v>1.0</v>
      </c>
      <c r="AS126" s="19">
        <v>0.0</v>
      </c>
      <c r="AT126" s="19">
        <f>IF(5 = R126, C126 * -1, C126)</f>
        <v>-0</v>
      </c>
      <c r="AU126" s="19">
        <f>IF(5 = R126, D126 * -1, D126)</f>
        <v>-0</v>
      </c>
      <c r="AV126" s="19">
        <f>IF(5 = R126, E126 * -1, E126)</f>
        <v>-0</v>
      </c>
      <c r="AW126" s="19">
        <f>IF(5 = R126, F126 * -1, F126)</f>
        <v>-0</v>
      </c>
      <c r="AX126" s="19">
        <f>IF(5 = R126, G126 * -1, G126)</f>
        <v>-0</v>
      </c>
      <c r="AY126" s="19">
        <f>IF(5 = R126, H126 * -1, H126)</f>
        <v>-0</v>
      </c>
      <c r="AZ126" s="19">
        <f>IF(5 = R126, I126 * -1, I126)</f>
        <v>-0</v>
      </c>
      <c r="BA126" s="19">
        <f>IF(5 = R126, J126 * -1, J126)</f>
        <v>-591.4</v>
      </c>
      <c r="BB126" s="19">
        <v>-82.29</v>
      </c>
      <c r="BC126" s="19">
        <f>IF(5 = R126, K126 * -1, K126)</f>
        <v>-82.29</v>
      </c>
      <c r="BD126" s="19">
        <v>-222.86</v>
      </c>
      <c r="BE126" s="19">
        <f>IF(5 = R126, L126 * -1, L126)</f>
        <v>-222.86</v>
      </c>
      <c r="BF126" s="19">
        <f>IF(5 = R126, M126 * -1, M126)</f>
        <v>-540.38</v>
      </c>
      <c r="BG126" s="19">
        <f>IF(5 = R126, N126 * -1, N126)</f>
        <v>-111.43</v>
      </c>
      <c r="BH126" s="19">
        <f>IF(5 = R126, O126 * -1, O126)</f>
        <v>-1548.36</v>
      </c>
      <c r="BI126" s="19">
        <f>IF(5 = R126, P126 * -1, P126)</f>
        <v>-956.96</v>
      </c>
    </row>
    <row r="127" spans="1:90">
      <c r="A127" s="9" t="s">
        <v>267</v>
      </c>
      <c r="B127" s="18" t="s">
        <v>268</v>
      </c>
      <c r="C127" s="20">
        <v>0.0</v>
      </c>
      <c r="D127" s="20">
        <v>0.0</v>
      </c>
      <c r="E127" s="20">
        <v>0.0</v>
      </c>
      <c r="F127" s="20">
        <v>0.0</v>
      </c>
      <c r="G127" s="20">
        <v>0.0</v>
      </c>
      <c r="H127" s="20">
        <v>0.0</v>
      </c>
      <c r="I127" s="20">
        <v>0.0</v>
      </c>
      <c r="J127" s="20">
        <v>0.0</v>
      </c>
      <c r="K127" s="20">
        <v>0.0</v>
      </c>
      <c r="L127" s="20">
        <v>5.95</v>
      </c>
      <c r="M127" s="20">
        <v>0.0</v>
      </c>
      <c r="N127" s="20">
        <v>0.0</v>
      </c>
      <c r="O127" s="20">
        <v>5.95</v>
      </c>
      <c r="P127" s="20">
        <v>5.95</v>
      </c>
      <c r="R127" s="19">
        <v>5.0</v>
      </c>
      <c r="V127" s="19">
        <v>100017.0</v>
      </c>
      <c r="W127" s="19">
        <v>100128578.0</v>
      </c>
      <c r="X127" s="18" t="s">
        <v>265</v>
      </c>
      <c r="Y127" s="18" t="s">
        <v>265</v>
      </c>
      <c r="Z127" s="18" t="s">
        <v>266</v>
      </c>
      <c r="AA127" s="18" t="s">
        <v>268</v>
      </c>
      <c r="AB127" s="19">
        <v>6480.0</v>
      </c>
      <c r="AC127" s="19">
        <v>1.0</v>
      </c>
      <c r="AD127" s="19">
        <v>6489.0</v>
      </c>
      <c r="AE127" s="19">
        <v>3.0</v>
      </c>
      <c r="AF127" s="18" t="s">
        <v>135</v>
      </c>
      <c r="AG127" s="19">
        <v>5.0</v>
      </c>
      <c r="AH127" s="19">
        <v>-1.0</v>
      </c>
      <c r="AI127" s="19">
        <v>2243.0</v>
      </c>
      <c r="AJ127" s="19">
        <v>3.0</v>
      </c>
      <c r="AK127" s="19">
        <v>0.0</v>
      </c>
      <c r="AL127" s="19">
        <v>0.0</v>
      </c>
      <c r="AM127" s="19">
        <v>0.0</v>
      </c>
      <c r="AN127" s="19">
        <v>0.0</v>
      </c>
      <c r="AO127" s="19">
        <v>0.0</v>
      </c>
      <c r="AP127" s="19">
        <v>0.0</v>
      </c>
      <c r="AQ127" s="19">
        <v>5.95</v>
      </c>
      <c r="AR127" s="19">
        <v>0.0</v>
      </c>
      <c r="AS127" s="19">
        <v>0.0</v>
      </c>
      <c r="AT127" s="19">
        <f>IF(5 = R127, C127 * -1, C127)</f>
        <v>-0</v>
      </c>
      <c r="AU127" s="19">
        <f>IF(5 = R127, D127 * -1, D127)</f>
        <v>-0</v>
      </c>
      <c r="AV127" s="19">
        <f>IF(5 = R127, E127 * -1, E127)</f>
        <v>-0</v>
      </c>
      <c r="AW127" s="19">
        <f>IF(5 = R127, F127 * -1, F127)</f>
        <v>-0</v>
      </c>
      <c r="AX127" s="19">
        <f>IF(5 = R127, G127 * -1, G127)</f>
        <v>-0</v>
      </c>
      <c r="AY127" s="19">
        <f>IF(5 = R127, H127 * -1, H127)</f>
        <v>-0</v>
      </c>
      <c r="AZ127" s="19">
        <f>IF(5 = R127, I127 * -1, I127)</f>
        <v>-0</v>
      </c>
      <c r="BA127" s="19">
        <f>IF(5 = R127, J127 * -1, J127)</f>
        <v>-0</v>
      </c>
      <c r="BB127" s="19">
        <v>0.0</v>
      </c>
      <c r="BC127" s="19">
        <f>IF(5 = R127, K127 * -1, K127)</f>
        <v>-0</v>
      </c>
      <c r="BD127" s="19">
        <v>-5.95</v>
      </c>
      <c r="BE127" s="19">
        <f>IF(5 = R127, L127 * -1, L127)</f>
        <v>-5.95</v>
      </c>
      <c r="BF127" s="19">
        <f>IF(5 = R127, M127 * -1, M127)</f>
        <v>-0</v>
      </c>
      <c r="BG127" s="19">
        <f>IF(5 = R127, N127 * -1, N127)</f>
        <v>-0</v>
      </c>
      <c r="BH127" s="19">
        <f>IF(5 = R127, O127 * -1, O127)</f>
        <v>-5.95</v>
      </c>
      <c r="BI127" s="19">
        <f>IF(5 = R127, P127 * -1, P127)</f>
        <v>-5.95</v>
      </c>
    </row>
    <row r="128" spans="1:90">
      <c r="A128" s="9" t="s">
        <v>269</v>
      </c>
      <c r="B128" s="18" t="s">
        <v>270</v>
      </c>
      <c r="C128" s="20">
        <v>0.0</v>
      </c>
      <c r="D128" s="20">
        <v>0.0</v>
      </c>
      <c r="E128" s="20">
        <v>0.0</v>
      </c>
      <c r="F128" s="20">
        <v>0.0</v>
      </c>
      <c r="G128" s="20">
        <v>0.0</v>
      </c>
      <c r="H128" s="20">
        <v>0.0</v>
      </c>
      <c r="I128" s="20">
        <v>0.0</v>
      </c>
      <c r="J128" s="20">
        <v>7865.8</v>
      </c>
      <c r="K128" s="20">
        <v>1276.8</v>
      </c>
      <c r="L128" s="20">
        <v>828.68</v>
      </c>
      <c r="M128" s="20">
        <v>810.78</v>
      </c>
      <c r="N128" s="20">
        <v>994.75</v>
      </c>
      <c r="O128" s="20">
        <v>11776.81</v>
      </c>
      <c r="P128" s="20">
        <v>3911.01</v>
      </c>
      <c r="R128" s="19">
        <v>5.0</v>
      </c>
      <c r="V128" s="19">
        <v>100017.0</v>
      </c>
      <c r="W128" s="19">
        <v>100128578.0</v>
      </c>
      <c r="X128" s="18" t="s">
        <v>265</v>
      </c>
      <c r="Y128" s="18" t="s">
        <v>265</v>
      </c>
      <c r="Z128" s="18" t="s">
        <v>266</v>
      </c>
      <c r="AA128" s="18" t="s">
        <v>270</v>
      </c>
      <c r="AB128" s="19">
        <v>6485.0</v>
      </c>
      <c r="AC128" s="19">
        <v>1.0</v>
      </c>
      <c r="AD128" s="19">
        <v>6490.0</v>
      </c>
      <c r="AE128" s="19">
        <v>4.0</v>
      </c>
      <c r="AF128" s="18" t="s">
        <v>135</v>
      </c>
      <c r="AG128" s="19">
        <v>5.0</v>
      </c>
      <c r="AH128" s="19">
        <v>-1.0</v>
      </c>
      <c r="AI128" s="19">
        <v>2243.0</v>
      </c>
      <c r="AJ128" s="19">
        <v>9.0</v>
      </c>
      <c r="AK128" s="19">
        <v>0.0</v>
      </c>
      <c r="AL128" s="19">
        <v>0.0</v>
      </c>
      <c r="AM128" s="19">
        <v>0.0</v>
      </c>
      <c r="AN128" s="19">
        <v>0.0</v>
      </c>
      <c r="AO128" s="19">
        <v>0.0</v>
      </c>
      <c r="AP128" s="19">
        <v>0.0</v>
      </c>
      <c r="AQ128" s="19">
        <v>828.68</v>
      </c>
      <c r="AR128" s="19">
        <v>1.0</v>
      </c>
      <c r="AS128" s="19">
        <v>0.0</v>
      </c>
      <c r="AT128" s="19">
        <f>IF(5 = R128, C128 * -1, C128)</f>
        <v>-0</v>
      </c>
      <c r="AU128" s="19">
        <f>IF(5 = R128, D128 * -1, D128)</f>
        <v>-0</v>
      </c>
      <c r="AV128" s="19">
        <f>IF(5 = R128, E128 * -1, E128)</f>
        <v>-0</v>
      </c>
      <c r="AW128" s="19">
        <f>IF(5 = R128, F128 * -1, F128)</f>
        <v>-0</v>
      </c>
      <c r="AX128" s="19">
        <f>IF(5 = R128, G128 * -1, G128)</f>
        <v>-0</v>
      </c>
      <c r="AY128" s="19">
        <f>IF(5 = R128, H128 * -1, H128)</f>
        <v>-0</v>
      </c>
      <c r="AZ128" s="19">
        <f>IF(5 = R128, I128 * -1, I128)</f>
        <v>-0</v>
      </c>
      <c r="BA128" s="19">
        <f>IF(5 = R128, J128 * -1, J128)</f>
        <v>-7865.8</v>
      </c>
      <c r="BB128" s="19">
        <v>-1276.8</v>
      </c>
      <c r="BC128" s="19">
        <f>IF(5 = R128, K128 * -1, K128)</f>
        <v>-1276.8</v>
      </c>
      <c r="BD128" s="19">
        <v>-828.68</v>
      </c>
      <c r="BE128" s="19">
        <f>IF(5 = R128, L128 * -1, L128)</f>
        <v>-828.68</v>
      </c>
      <c r="BF128" s="19">
        <f>IF(5 = R128, M128 * -1, M128)</f>
        <v>-810.78</v>
      </c>
      <c r="BG128" s="19">
        <f>IF(5 = R128, N128 * -1, N128)</f>
        <v>-994.75</v>
      </c>
      <c r="BH128" s="19">
        <f>IF(5 = R128, O128 * -1, O128)</f>
        <v>-11776.81</v>
      </c>
      <c r="BI128" s="19">
        <f>IF(5 = R128, P128 * -1, P128)</f>
        <v>-3911.01</v>
      </c>
    </row>
    <row r="129" spans="1:90">
      <c r="A129" s="9" t="s">
        <v>271</v>
      </c>
      <c r="B129" s="18" t="s">
        <v>272</v>
      </c>
      <c r="C129" s="20">
        <v>0.0</v>
      </c>
      <c r="D129" s="20">
        <v>0.0</v>
      </c>
      <c r="E129" s="20">
        <v>0.0</v>
      </c>
      <c r="F129" s="20">
        <v>0.0</v>
      </c>
      <c r="G129" s="20">
        <v>0.0</v>
      </c>
      <c r="H129" s="20">
        <v>0.0</v>
      </c>
      <c r="I129" s="20">
        <v>0.0</v>
      </c>
      <c r="J129" s="20">
        <v>3027.2</v>
      </c>
      <c r="K129" s="20">
        <v>0.0</v>
      </c>
      <c r="L129" s="20">
        <v>660.99</v>
      </c>
      <c r="M129" s="20">
        <v>115.08</v>
      </c>
      <c r="N129" s="20">
        <v>138.12</v>
      </c>
      <c r="O129" s="20">
        <v>3941.39</v>
      </c>
      <c r="P129" s="20">
        <v>914.19</v>
      </c>
      <c r="R129" s="19">
        <v>5.0</v>
      </c>
      <c r="V129" s="19">
        <v>100017.0</v>
      </c>
      <c r="W129" s="19">
        <v>100128578.0</v>
      </c>
      <c r="X129" s="18" t="s">
        <v>265</v>
      </c>
      <c r="Y129" s="18" t="s">
        <v>265</v>
      </c>
      <c r="Z129" s="18" t="s">
        <v>266</v>
      </c>
      <c r="AA129" s="18" t="s">
        <v>272</v>
      </c>
      <c r="AB129" s="19">
        <v>6490.0</v>
      </c>
      <c r="AC129" s="19">
        <v>1.0</v>
      </c>
      <c r="AD129" s="19">
        <v>6491.0</v>
      </c>
      <c r="AE129" s="19">
        <v>5.0</v>
      </c>
      <c r="AF129" s="18" t="s">
        <v>135</v>
      </c>
      <c r="AG129" s="19">
        <v>5.0</v>
      </c>
      <c r="AH129" s="19">
        <v>-1.0</v>
      </c>
      <c r="AI129" s="19">
        <v>2243.0</v>
      </c>
      <c r="AJ129" s="19">
        <v>7.0</v>
      </c>
      <c r="AK129" s="19">
        <v>0.0</v>
      </c>
      <c r="AL129" s="19">
        <v>0.0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660.99</v>
      </c>
      <c r="AR129" s="19">
        <v>1.0</v>
      </c>
      <c r="AS129" s="19">
        <v>0.0</v>
      </c>
      <c r="AT129" s="19">
        <f>IF(5 = R129, C129 * -1, C129)</f>
        <v>-0</v>
      </c>
      <c r="AU129" s="19">
        <f>IF(5 = R129, D129 * -1, D129)</f>
        <v>-0</v>
      </c>
      <c r="AV129" s="19">
        <f>IF(5 = R129, E129 * -1, E129)</f>
        <v>-0</v>
      </c>
      <c r="AW129" s="19">
        <f>IF(5 = R129, F129 * -1, F129)</f>
        <v>-0</v>
      </c>
      <c r="AX129" s="19">
        <f>IF(5 = R129, G129 * -1, G129)</f>
        <v>-0</v>
      </c>
      <c r="AY129" s="19">
        <f>IF(5 = R129, H129 * -1, H129)</f>
        <v>-0</v>
      </c>
      <c r="AZ129" s="19">
        <f>IF(5 = R129, I129 * -1, I129)</f>
        <v>-0</v>
      </c>
      <c r="BA129" s="19">
        <f>IF(5 = R129, J129 * -1, J129)</f>
        <v>-3027.2</v>
      </c>
      <c r="BB129" s="19">
        <v>0.0</v>
      </c>
      <c r="BC129" s="19">
        <f>IF(5 = R129, K129 * -1, K129)</f>
        <v>-0</v>
      </c>
      <c r="BD129" s="19">
        <v>-660.99</v>
      </c>
      <c r="BE129" s="19">
        <f>IF(5 = R129, L129 * -1, L129)</f>
        <v>-660.99</v>
      </c>
      <c r="BF129" s="19">
        <f>IF(5 = R129, M129 * -1, M129)</f>
        <v>-115.08</v>
      </c>
      <c r="BG129" s="19">
        <f>IF(5 = R129, N129 * -1, N129)</f>
        <v>-138.12</v>
      </c>
      <c r="BH129" s="19">
        <f>IF(5 = R129, O129 * -1, O129)</f>
        <v>-3941.39</v>
      </c>
      <c r="BI129" s="19">
        <f>IF(5 = R129, P129 * -1, P129)</f>
        <v>-914.19</v>
      </c>
    </row>
    <row r="130" spans="1:90">
      <c r="A130" s="9" t="s">
        <v>273</v>
      </c>
      <c r="B130" s="18" t="s">
        <v>274</v>
      </c>
      <c r="C130" s="20">
        <v>0.0</v>
      </c>
      <c r="D130" s="20">
        <v>0.0</v>
      </c>
      <c r="E130" s="20">
        <v>0.0</v>
      </c>
      <c r="F130" s="20">
        <v>0.0</v>
      </c>
      <c r="G130" s="20">
        <v>0.0</v>
      </c>
      <c r="H130" s="20">
        <v>0.0</v>
      </c>
      <c r="I130" s="20">
        <v>0.0</v>
      </c>
      <c r="J130" s="20">
        <v>1371.7</v>
      </c>
      <c r="K130" s="20">
        <v>538.74</v>
      </c>
      <c r="L130" s="20">
        <v>601.17</v>
      </c>
      <c r="M130" s="20">
        <v>0.0</v>
      </c>
      <c r="N130" s="20">
        <v>0.0</v>
      </c>
      <c r="O130" s="20">
        <v>2511.61</v>
      </c>
      <c r="P130" s="20">
        <v>1139.91</v>
      </c>
      <c r="R130" s="19">
        <v>5.0</v>
      </c>
      <c r="V130" s="19">
        <v>100017.0</v>
      </c>
      <c r="W130" s="19">
        <v>100128578.0</v>
      </c>
      <c r="X130" s="18" t="s">
        <v>265</v>
      </c>
      <c r="Y130" s="18" t="s">
        <v>265</v>
      </c>
      <c r="Z130" s="18" t="s">
        <v>266</v>
      </c>
      <c r="AA130" s="18" t="s">
        <v>274</v>
      </c>
      <c r="AB130" s="19">
        <v>6510.0</v>
      </c>
      <c r="AC130" s="19">
        <v>1.0</v>
      </c>
      <c r="AD130" s="19">
        <v>6492.0</v>
      </c>
      <c r="AE130" s="19">
        <v>6.0</v>
      </c>
      <c r="AF130" s="18" t="s">
        <v>135</v>
      </c>
      <c r="AG130" s="19">
        <v>5.0</v>
      </c>
      <c r="AH130" s="19">
        <v>-1.0</v>
      </c>
      <c r="AI130" s="19">
        <v>2243.0</v>
      </c>
      <c r="AJ130" s="19">
        <v>3.0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0.0</v>
      </c>
      <c r="AP130" s="19">
        <v>0.0</v>
      </c>
      <c r="AQ130" s="19">
        <v>601.17</v>
      </c>
      <c r="AR130" s="19">
        <v>0.0</v>
      </c>
      <c r="AS130" s="19">
        <v>0.0</v>
      </c>
      <c r="AT130" s="19">
        <f>IF(5 = R130, C130 * -1, C130)</f>
        <v>-0</v>
      </c>
      <c r="AU130" s="19">
        <f>IF(5 = R130, D130 * -1, D130)</f>
        <v>-0</v>
      </c>
      <c r="AV130" s="19">
        <f>IF(5 = R130, E130 * -1, E130)</f>
        <v>-0</v>
      </c>
      <c r="AW130" s="19">
        <f>IF(5 = R130, F130 * -1, F130)</f>
        <v>-0</v>
      </c>
      <c r="AX130" s="19">
        <f>IF(5 = R130, G130 * -1, G130)</f>
        <v>-0</v>
      </c>
      <c r="AY130" s="19">
        <f>IF(5 = R130, H130 * -1, H130)</f>
        <v>-0</v>
      </c>
      <c r="AZ130" s="19">
        <f>IF(5 = R130, I130 * -1, I130)</f>
        <v>-0</v>
      </c>
      <c r="BA130" s="19">
        <f>IF(5 = R130, J130 * -1, J130)</f>
        <v>-1371.7</v>
      </c>
      <c r="BB130" s="19">
        <v>-538.74</v>
      </c>
      <c r="BC130" s="19">
        <f>IF(5 = R130, K130 * -1, K130)</f>
        <v>-538.74</v>
      </c>
      <c r="BD130" s="19">
        <v>-601.17</v>
      </c>
      <c r="BE130" s="19">
        <f>IF(5 = R130, L130 * -1, L130)</f>
        <v>-601.17</v>
      </c>
      <c r="BF130" s="19">
        <f>IF(5 = R130, M130 * -1, M130)</f>
        <v>-0</v>
      </c>
      <c r="BG130" s="19">
        <f>IF(5 = R130, N130 * -1, N130)</f>
        <v>-0</v>
      </c>
      <c r="BH130" s="19">
        <f>IF(5 = R130, O130 * -1, O130)</f>
        <v>-2511.61</v>
      </c>
      <c r="BI130" s="19">
        <f>IF(5 = R130, P130 * -1, P130)</f>
        <v>-1139.91</v>
      </c>
    </row>
    <row r="131" spans="1:90">
      <c r="A131" s="9" t="s">
        <v>275</v>
      </c>
      <c r="B131" s="18" t="s">
        <v>276</v>
      </c>
      <c r="C131" s="20">
        <v>0.0</v>
      </c>
      <c r="D131" s="20">
        <v>0.0</v>
      </c>
      <c r="E131" s="20">
        <v>0.0</v>
      </c>
      <c r="F131" s="20">
        <v>0.0</v>
      </c>
      <c r="G131" s="20">
        <v>0.0</v>
      </c>
      <c r="H131" s="20">
        <v>0.0</v>
      </c>
      <c r="I131" s="20">
        <v>0.0</v>
      </c>
      <c r="J131" s="20">
        <v>2049.92</v>
      </c>
      <c r="K131" s="20">
        <v>0.0</v>
      </c>
      <c r="L131" s="20">
        <v>6.08</v>
      </c>
      <c r="M131" s="20">
        <v>0.0</v>
      </c>
      <c r="N131" s="20">
        <v>0.0</v>
      </c>
      <c r="O131" s="20">
        <v>2056.0</v>
      </c>
      <c r="P131" s="20">
        <v>6.08</v>
      </c>
      <c r="R131" s="19">
        <v>5.0</v>
      </c>
      <c r="V131" s="19">
        <v>100017.0</v>
      </c>
      <c r="W131" s="19">
        <v>100128578.0</v>
      </c>
      <c r="X131" s="18" t="s">
        <v>265</v>
      </c>
      <c r="Y131" s="18" t="s">
        <v>265</v>
      </c>
      <c r="Z131" s="18" t="s">
        <v>266</v>
      </c>
      <c r="AA131" s="18" t="s">
        <v>276</v>
      </c>
      <c r="AB131" s="19">
        <v>6530.0</v>
      </c>
      <c r="AC131" s="19">
        <v>1.0</v>
      </c>
      <c r="AD131" s="19">
        <v>6494.0</v>
      </c>
      <c r="AE131" s="19">
        <v>9.0</v>
      </c>
      <c r="AF131" s="18" t="s">
        <v>135</v>
      </c>
      <c r="AG131" s="19">
        <v>5.0</v>
      </c>
      <c r="AH131" s="19">
        <v>-1.0</v>
      </c>
      <c r="AI131" s="19">
        <v>2243.0</v>
      </c>
      <c r="AJ131" s="19">
        <v>2.0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6.08</v>
      </c>
      <c r="AR131" s="19">
        <v>0.0</v>
      </c>
      <c r="AS131" s="19">
        <v>0.0</v>
      </c>
      <c r="AT131" s="19">
        <f>IF(5 = R131, C131 * -1, C131)</f>
        <v>-0</v>
      </c>
      <c r="AU131" s="19">
        <f>IF(5 = R131, D131 * -1, D131)</f>
        <v>-0</v>
      </c>
      <c r="AV131" s="19">
        <f>IF(5 = R131, E131 * -1, E131)</f>
        <v>-0</v>
      </c>
      <c r="AW131" s="19">
        <f>IF(5 = R131, F131 * -1, F131)</f>
        <v>-0</v>
      </c>
      <c r="AX131" s="19">
        <f>IF(5 = R131, G131 * -1, G131)</f>
        <v>-0</v>
      </c>
      <c r="AY131" s="19">
        <f>IF(5 = R131, H131 * -1, H131)</f>
        <v>-0</v>
      </c>
      <c r="AZ131" s="19">
        <f>IF(5 = R131, I131 * -1, I131)</f>
        <v>-0</v>
      </c>
      <c r="BA131" s="19">
        <f>IF(5 = R131, J131 * -1, J131)</f>
        <v>-2049.92</v>
      </c>
      <c r="BB131" s="19">
        <v>0.0</v>
      </c>
      <c r="BC131" s="19">
        <f>IF(5 = R131, K131 * -1, K131)</f>
        <v>-0</v>
      </c>
      <c r="BD131" s="19">
        <v>-6.08</v>
      </c>
      <c r="BE131" s="19">
        <f>IF(5 = R131, L131 * -1, L131)</f>
        <v>-6.08</v>
      </c>
      <c r="BF131" s="19">
        <f>IF(5 = R131, M131 * -1, M131)</f>
        <v>-0</v>
      </c>
      <c r="BG131" s="19">
        <f>IF(5 = R131, N131 * -1, N131)</f>
        <v>-0</v>
      </c>
      <c r="BH131" s="19">
        <f>IF(5 = R131, O131 * -1, O131)</f>
        <v>-2056</v>
      </c>
      <c r="BI131" s="19">
        <f>IF(5 = R131, P131 * -1, P131)</f>
        <v>-6.08</v>
      </c>
    </row>
    <row r="132" spans="1:90">
      <c r="A132" s="9" t="s">
        <v>277</v>
      </c>
      <c r="B132" s="18" t="s">
        <v>278</v>
      </c>
      <c r="C132" s="20">
        <v>0.0</v>
      </c>
      <c r="D132" s="20">
        <v>0.0</v>
      </c>
      <c r="E132" s="20">
        <v>0.0</v>
      </c>
      <c r="F132" s="20">
        <v>0.0</v>
      </c>
      <c r="G132" s="20">
        <v>0.0</v>
      </c>
      <c r="H132" s="20">
        <v>0.0</v>
      </c>
      <c r="I132" s="20">
        <v>0.0</v>
      </c>
      <c r="J132" s="20">
        <v>491.92</v>
      </c>
      <c r="K132" s="20">
        <v>0.0</v>
      </c>
      <c r="L132" s="20">
        <v>65.54</v>
      </c>
      <c r="M132" s="20">
        <v>52.12</v>
      </c>
      <c r="N132" s="20">
        <v>87.68</v>
      </c>
      <c r="O132" s="20">
        <v>697.26</v>
      </c>
      <c r="P132" s="20">
        <v>205.34</v>
      </c>
      <c r="R132" s="19">
        <v>5.0</v>
      </c>
      <c r="V132" s="19">
        <v>100017.0</v>
      </c>
      <c r="W132" s="19">
        <v>100128578.0</v>
      </c>
      <c r="X132" s="18" t="s">
        <v>265</v>
      </c>
      <c r="Y132" s="18" t="s">
        <v>265</v>
      </c>
      <c r="Z132" s="18" t="s">
        <v>266</v>
      </c>
      <c r="AA132" s="18" t="s">
        <v>278</v>
      </c>
      <c r="AB132" s="19">
        <v>6550.0</v>
      </c>
      <c r="AC132" s="19">
        <v>1.0</v>
      </c>
      <c r="AD132" s="19">
        <v>6496.0</v>
      </c>
      <c r="AE132" s="19">
        <v>11.0</v>
      </c>
      <c r="AF132" s="18" t="s">
        <v>135</v>
      </c>
      <c r="AG132" s="19">
        <v>5.0</v>
      </c>
      <c r="AH132" s="19">
        <v>-1.0</v>
      </c>
      <c r="AI132" s="19">
        <v>2243.0</v>
      </c>
      <c r="AJ132" s="19">
        <v>6.0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65.54</v>
      </c>
      <c r="AR132" s="19">
        <v>1.0</v>
      </c>
      <c r="AS132" s="19">
        <v>0.0</v>
      </c>
      <c r="AT132" s="19">
        <f>IF(5 = R132, C132 * -1, C132)</f>
        <v>-0</v>
      </c>
      <c r="AU132" s="19">
        <f>IF(5 = R132, D132 * -1, D132)</f>
        <v>-0</v>
      </c>
      <c r="AV132" s="19">
        <f>IF(5 = R132, E132 * -1, E132)</f>
        <v>-0</v>
      </c>
      <c r="AW132" s="19">
        <f>IF(5 = R132, F132 * -1, F132)</f>
        <v>-0</v>
      </c>
      <c r="AX132" s="19">
        <f>IF(5 = R132, G132 * -1, G132)</f>
        <v>-0</v>
      </c>
      <c r="AY132" s="19">
        <f>IF(5 = R132, H132 * -1, H132)</f>
        <v>-0</v>
      </c>
      <c r="AZ132" s="19">
        <f>IF(5 = R132, I132 * -1, I132)</f>
        <v>-0</v>
      </c>
      <c r="BA132" s="19">
        <f>IF(5 = R132, J132 * -1, J132)</f>
        <v>-491.92</v>
      </c>
      <c r="BB132" s="19">
        <v>0.0</v>
      </c>
      <c r="BC132" s="19">
        <f>IF(5 = R132, K132 * -1, K132)</f>
        <v>-0</v>
      </c>
      <c r="BD132" s="19">
        <v>-65.54</v>
      </c>
      <c r="BE132" s="19">
        <f>IF(5 = R132, L132 * -1, L132)</f>
        <v>-65.54</v>
      </c>
      <c r="BF132" s="19">
        <f>IF(5 = R132, M132 * -1, M132)</f>
        <v>-52.12</v>
      </c>
      <c r="BG132" s="19">
        <f>IF(5 = R132, N132 * -1, N132)</f>
        <v>-87.68</v>
      </c>
      <c r="BH132" s="19">
        <f>IF(5 = R132, O132 * -1, O132)</f>
        <v>-697.26</v>
      </c>
      <c r="BI132" s="19">
        <f>IF(5 = R132, P132 * -1, P132)</f>
        <v>-205.34</v>
      </c>
    </row>
    <row r="133" spans="1:90">
      <c r="A133" s="9" t="s">
        <v>279</v>
      </c>
      <c r="B133" s="18" t="s">
        <v>280</v>
      </c>
      <c r="C133" s="20">
        <v>0.0</v>
      </c>
      <c r="D133" s="20">
        <v>0.0</v>
      </c>
      <c r="E133" s="20">
        <v>0.0</v>
      </c>
      <c r="F133" s="20">
        <v>0.0</v>
      </c>
      <c r="G133" s="20">
        <v>0.0</v>
      </c>
      <c r="H133" s="20">
        <v>0.0</v>
      </c>
      <c r="I133" s="20">
        <v>0.0</v>
      </c>
      <c r="J133" s="20">
        <v>2418.6</v>
      </c>
      <c r="K133" s="20">
        <v>290.09</v>
      </c>
      <c r="L133" s="20">
        <v>113.28</v>
      </c>
      <c r="M133" s="20">
        <v>65.98</v>
      </c>
      <c r="N133" s="20">
        <v>61.4</v>
      </c>
      <c r="O133" s="20">
        <v>2949.35</v>
      </c>
      <c r="P133" s="20">
        <v>530.75</v>
      </c>
      <c r="R133" s="19">
        <v>5.0</v>
      </c>
      <c r="V133" s="19">
        <v>100017.0</v>
      </c>
      <c r="W133" s="19">
        <v>100128578.0</v>
      </c>
      <c r="X133" s="18" t="s">
        <v>265</v>
      </c>
      <c r="Y133" s="18" t="s">
        <v>265</v>
      </c>
      <c r="Z133" s="18" t="s">
        <v>266</v>
      </c>
      <c r="AA133" s="18" t="s">
        <v>280</v>
      </c>
      <c r="AB133" s="19">
        <v>6560.0</v>
      </c>
      <c r="AC133" s="19">
        <v>1.0</v>
      </c>
      <c r="AD133" s="19">
        <v>6497.0</v>
      </c>
      <c r="AE133" s="19">
        <v>12.0</v>
      </c>
      <c r="AF133" s="18" t="s">
        <v>135</v>
      </c>
      <c r="AG133" s="19">
        <v>5.0</v>
      </c>
      <c r="AH133" s="19">
        <v>-1.0</v>
      </c>
      <c r="AI133" s="19">
        <v>2243.0</v>
      </c>
      <c r="AJ133" s="19">
        <v>9.0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113.28</v>
      </c>
      <c r="AR133" s="19">
        <v>2.0</v>
      </c>
      <c r="AS133" s="19">
        <v>0.0</v>
      </c>
      <c r="AT133" s="19">
        <f>IF(5 = R133, C133 * -1, C133)</f>
        <v>-0</v>
      </c>
      <c r="AU133" s="19">
        <f>IF(5 = R133, D133 * -1, D133)</f>
        <v>-0</v>
      </c>
      <c r="AV133" s="19">
        <f>IF(5 = R133, E133 * -1, E133)</f>
        <v>-0</v>
      </c>
      <c r="AW133" s="19">
        <f>IF(5 = R133, F133 * -1, F133)</f>
        <v>-0</v>
      </c>
      <c r="AX133" s="19">
        <f>IF(5 = R133, G133 * -1, G133)</f>
        <v>-0</v>
      </c>
      <c r="AY133" s="19">
        <f>IF(5 = R133, H133 * -1, H133)</f>
        <v>-0</v>
      </c>
      <c r="AZ133" s="19">
        <f>IF(5 = R133, I133 * -1, I133)</f>
        <v>-0</v>
      </c>
      <c r="BA133" s="19">
        <f>IF(5 = R133, J133 * -1, J133)</f>
        <v>-2418.6</v>
      </c>
      <c r="BB133" s="19">
        <v>-290.09</v>
      </c>
      <c r="BC133" s="19">
        <f>IF(5 = R133, K133 * -1, K133)</f>
        <v>-290.09</v>
      </c>
      <c r="BD133" s="19">
        <v>-113.28</v>
      </c>
      <c r="BE133" s="19">
        <f>IF(5 = R133, L133 * -1, L133)</f>
        <v>-113.28</v>
      </c>
      <c r="BF133" s="19">
        <f>IF(5 = R133, M133 * -1, M133)</f>
        <v>-65.98</v>
      </c>
      <c r="BG133" s="19">
        <f>IF(5 = R133, N133 * -1, N133)</f>
        <v>-61.4</v>
      </c>
      <c r="BH133" s="19">
        <f>IF(5 = R133, O133 * -1, O133)</f>
        <v>-2949.35</v>
      </c>
      <c r="BI133" s="19">
        <f>IF(5 = R133, P133 * -1, P133)</f>
        <v>-530.75</v>
      </c>
    </row>
    <row r="134" spans="1:90">
      <c r="A134" s="9" t="s">
        <v>281</v>
      </c>
      <c r="B134" s="18" t="s">
        <v>282</v>
      </c>
      <c r="C134" s="20">
        <v>0.0</v>
      </c>
      <c r="D134" s="20">
        <v>0.0</v>
      </c>
      <c r="E134" s="20">
        <v>0.0</v>
      </c>
      <c r="F134" s="20">
        <v>0.0</v>
      </c>
      <c r="G134" s="20">
        <v>0.0</v>
      </c>
      <c r="H134" s="20">
        <v>0.0</v>
      </c>
      <c r="I134" s="20">
        <v>0.0</v>
      </c>
      <c r="J134" s="20">
        <v>517.95</v>
      </c>
      <c r="K134" s="20">
        <v>0.0</v>
      </c>
      <c r="L134" s="20">
        <v>0.0</v>
      </c>
      <c r="M134" s="20">
        <v>0.0</v>
      </c>
      <c r="N134" s="20">
        <v>0.0</v>
      </c>
      <c r="O134" s="20">
        <v>517.95</v>
      </c>
      <c r="P134" s="20">
        <v>0.0</v>
      </c>
      <c r="R134" s="19">
        <v>5.0</v>
      </c>
      <c r="V134" s="19">
        <v>100017.0</v>
      </c>
      <c r="W134" s="19">
        <v>100128578.0</v>
      </c>
      <c r="X134" s="18" t="s">
        <v>265</v>
      </c>
      <c r="Y134" s="18" t="s">
        <v>265</v>
      </c>
      <c r="Z134" s="18" t="s">
        <v>266</v>
      </c>
      <c r="AA134" s="18" t="s">
        <v>282</v>
      </c>
      <c r="AB134" s="19">
        <v>6570.0</v>
      </c>
      <c r="AC134" s="19">
        <v>1.0</v>
      </c>
      <c r="AD134" s="19">
        <v>6498.0</v>
      </c>
      <c r="AE134" s="19">
        <v>13.0</v>
      </c>
      <c r="AF134" s="18" t="s">
        <v>135</v>
      </c>
      <c r="AG134" s="19">
        <v>5.0</v>
      </c>
      <c r="AH134" s="19">
        <v>-1.0</v>
      </c>
      <c r="AI134" s="19">
        <v>2243.0</v>
      </c>
      <c r="AJ134" s="19">
        <v>1.0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f>IF(5 = R134, C134 * -1, C134)</f>
        <v>-0</v>
      </c>
      <c r="AU134" s="19">
        <f>IF(5 = R134, D134 * -1, D134)</f>
        <v>-0</v>
      </c>
      <c r="AV134" s="19">
        <f>IF(5 = R134, E134 * -1, E134)</f>
        <v>-0</v>
      </c>
      <c r="AW134" s="19">
        <f>IF(5 = R134, F134 * -1, F134)</f>
        <v>-0</v>
      </c>
      <c r="AX134" s="19">
        <f>IF(5 = R134, G134 * -1, G134)</f>
        <v>-0</v>
      </c>
      <c r="AY134" s="19">
        <f>IF(5 = R134, H134 * -1, H134)</f>
        <v>-0</v>
      </c>
      <c r="AZ134" s="19">
        <f>IF(5 = R134, I134 * -1, I134)</f>
        <v>-0</v>
      </c>
      <c r="BA134" s="19">
        <f>IF(5 = R134, J134 * -1, J134)</f>
        <v>-517.95</v>
      </c>
      <c r="BB134" s="19">
        <v>0.0</v>
      </c>
      <c r="BC134" s="19">
        <f>IF(5 = R134, K134 * -1, K134)</f>
        <v>-0</v>
      </c>
      <c r="BD134" s="19">
        <v>0.0</v>
      </c>
      <c r="BE134" s="19">
        <f>IF(5 = R134, L134 * -1, L134)</f>
        <v>-0</v>
      </c>
      <c r="BF134" s="19">
        <f>IF(5 = R134, M134 * -1, M134)</f>
        <v>-0</v>
      </c>
      <c r="BG134" s="19">
        <f>IF(5 = R134, N134 * -1, N134)</f>
        <v>-0</v>
      </c>
      <c r="BH134" s="19">
        <f>IF(5 = R134, O134 * -1, O134)</f>
        <v>-517.95</v>
      </c>
      <c r="BI134" s="19">
        <f>IF(5 = R134, P134 * -1, P134)</f>
        <v>-0</v>
      </c>
    </row>
    <row r="135" spans="1:90">
      <c r="A135" s="9" t="s">
        <v>283</v>
      </c>
      <c r="B135" s="18" t="s">
        <v>284</v>
      </c>
      <c r="C135" s="20">
        <v>0.0</v>
      </c>
      <c r="D135" s="20">
        <v>0.0</v>
      </c>
      <c r="E135" s="20">
        <v>0.0</v>
      </c>
      <c r="F135" s="20">
        <v>0.0</v>
      </c>
      <c r="G135" s="20">
        <v>0.0</v>
      </c>
      <c r="H135" s="20">
        <v>0.0</v>
      </c>
      <c r="I135" s="20">
        <v>0.0</v>
      </c>
      <c r="J135" s="20">
        <v>359.96</v>
      </c>
      <c r="K135" s="20">
        <v>0.0</v>
      </c>
      <c r="L135" s="20">
        <v>0.0</v>
      </c>
      <c r="M135" s="20">
        <v>0.0</v>
      </c>
      <c r="N135" s="20">
        <v>0.0</v>
      </c>
      <c r="O135" s="20">
        <v>359.96</v>
      </c>
      <c r="P135" s="20">
        <v>0.0</v>
      </c>
      <c r="R135" s="19">
        <v>5.0</v>
      </c>
      <c r="V135" s="19">
        <v>100017.0</v>
      </c>
      <c r="W135" s="19">
        <v>100128578.0</v>
      </c>
      <c r="X135" s="18" t="s">
        <v>265</v>
      </c>
      <c r="Y135" s="18" t="s">
        <v>265</v>
      </c>
      <c r="Z135" s="18" t="s">
        <v>266</v>
      </c>
      <c r="AA135" s="18" t="s">
        <v>284</v>
      </c>
      <c r="AB135" s="19">
        <v>6590.0</v>
      </c>
      <c r="AC135" s="19">
        <v>1.0</v>
      </c>
      <c r="AD135" s="19">
        <v>6500.0</v>
      </c>
      <c r="AE135" s="19">
        <v>15.0</v>
      </c>
      <c r="AF135" s="18" t="s">
        <v>135</v>
      </c>
      <c r="AG135" s="19">
        <v>5.0</v>
      </c>
      <c r="AH135" s="19">
        <v>-1.0</v>
      </c>
      <c r="AI135" s="19">
        <v>2243.0</v>
      </c>
      <c r="AJ135" s="19">
        <v>1.0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f>IF(5 = R135, C135 * -1, C135)</f>
        <v>-0</v>
      </c>
      <c r="AU135" s="19">
        <f>IF(5 = R135, D135 * -1, D135)</f>
        <v>-0</v>
      </c>
      <c r="AV135" s="19">
        <f>IF(5 = R135, E135 * -1, E135)</f>
        <v>-0</v>
      </c>
      <c r="AW135" s="19">
        <f>IF(5 = R135, F135 * -1, F135)</f>
        <v>-0</v>
      </c>
      <c r="AX135" s="19">
        <f>IF(5 = R135, G135 * -1, G135)</f>
        <v>-0</v>
      </c>
      <c r="AY135" s="19">
        <f>IF(5 = R135, H135 * -1, H135)</f>
        <v>-0</v>
      </c>
      <c r="AZ135" s="19">
        <f>IF(5 = R135, I135 * -1, I135)</f>
        <v>-0</v>
      </c>
      <c r="BA135" s="19">
        <f>IF(5 = R135, J135 * -1, J135)</f>
        <v>-359.96</v>
      </c>
      <c r="BB135" s="19">
        <v>0.0</v>
      </c>
      <c r="BC135" s="19">
        <f>IF(5 = R135, K135 * -1, K135)</f>
        <v>-0</v>
      </c>
      <c r="BD135" s="19">
        <v>0.0</v>
      </c>
      <c r="BE135" s="19">
        <f>IF(5 = R135, L135 * -1, L135)</f>
        <v>-0</v>
      </c>
      <c r="BF135" s="19">
        <f>IF(5 = R135, M135 * -1, M135)</f>
        <v>-0</v>
      </c>
      <c r="BG135" s="19">
        <f>IF(5 = R135, N135 * -1, N135)</f>
        <v>-0</v>
      </c>
      <c r="BH135" s="19">
        <f>IF(5 = R135, O135 * -1, O135)</f>
        <v>-359.96</v>
      </c>
      <c r="BI135" s="19">
        <f>IF(5 = R135, P135 * -1, P135)</f>
        <v>-0</v>
      </c>
    </row>
    <row r="136" spans="1:90">
      <c r="A136" s="9" t="s">
        <v>285</v>
      </c>
      <c r="B136" s="18" t="s">
        <v>286</v>
      </c>
      <c r="C136" s="20">
        <v>0.0</v>
      </c>
      <c r="D136" s="20">
        <v>0.0</v>
      </c>
      <c r="E136" s="20">
        <v>0.0</v>
      </c>
      <c r="F136" s="20">
        <v>0.0</v>
      </c>
      <c r="G136" s="20">
        <v>0.0</v>
      </c>
      <c r="H136" s="20">
        <v>0.0</v>
      </c>
      <c r="I136" s="20">
        <v>0.0</v>
      </c>
      <c r="J136" s="20">
        <v>401421.29</v>
      </c>
      <c r="K136" s="20">
        <v>0.0</v>
      </c>
      <c r="L136" s="20">
        <v>0.0</v>
      </c>
      <c r="M136" s="20">
        <v>0.0</v>
      </c>
      <c r="N136" s="20">
        <v>0.0</v>
      </c>
      <c r="O136" s="20">
        <v>401421.29</v>
      </c>
      <c r="P136" s="20">
        <v>0.0</v>
      </c>
      <c r="R136" s="19">
        <v>5.0</v>
      </c>
      <c r="V136" s="19">
        <v>100017.0</v>
      </c>
      <c r="W136" s="19">
        <v>100128578.0</v>
      </c>
      <c r="X136" s="18" t="s">
        <v>265</v>
      </c>
      <c r="Y136" s="18" t="s">
        <v>265</v>
      </c>
      <c r="Z136" s="18" t="s">
        <v>266</v>
      </c>
      <c r="AA136" s="18" t="s">
        <v>286</v>
      </c>
      <c r="AB136" s="19">
        <v>6630.0</v>
      </c>
      <c r="AC136" s="19">
        <v>1.0</v>
      </c>
      <c r="AD136" s="19">
        <v>6229.0</v>
      </c>
      <c r="AE136" s="19">
        <v>16.0</v>
      </c>
      <c r="AF136" s="18" t="s">
        <v>135</v>
      </c>
      <c r="AG136" s="19">
        <v>5.0</v>
      </c>
      <c r="AH136" s="19">
        <v>-1.0</v>
      </c>
      <c r="AI136" s="19">
        <v>2243.0</v>
      </c>
      <c r="AJ136" s="19">
        <v>1.0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f>IF(5 = R136, C136 * -1, C136)</f>
        <v>-0</v>
      </c>
      <c r="AU136" s="19">
        <f>IF(5 = R136, D136 * -1, D136)</f>
        <v>-0</v>
      </c>
      <c r="AV136" s="19">
        <f>IF(5 = R136, E136 * -1, E136)</f>
        <v>-0</v>
      </c>
      <c r="AW136" s="19">
        <f>IF(5 = R136, F136 * -1, F136)</f>
        <v>-0</v>
      </c>
      <c r="AX136" s="19">
        <f>IF(5 = R136, G136 * -1, G136)</f>
        <v>-0</v>
      </c>
      <c r="AY136" s="19">
        <f>IF(5 = R136, H136 * -1, H136)</f>
        <v>-0</v>
      </c>
      <c r="AZ136" s="19">
        <f>IF(5 = R136, I136 * -1, I136)</f>
        <v>-0</v>
      </c>
      <c r="BA136" s="19">
        <f>IF(5 = R136, J136 * -1, J136)</f>
        <v>-401421.29</v>
      </c>
      <c r="BB136" s="19">
        <v>0.0</v>
      </c>
      <c r="BC136" s="19">
        <f>IF(5 = R136, K136 * -1, K136)</f>
        <v>-0</v>
      </c>
      <c r="BD136" s="19">
        <v>0.0</v>
      </c>
      <c r="BE136" s="19">
        <f>IF(5 = R136, L136 * -1, L136)</f>
        <v>-0</v>
      </c>
      <c r="BF136" s="19">
        <f>IF(5 = R136, M136 * -1, M136)</f>
        <v>-0</v>
      </c>
      <c r="BG136" s="19">
        <f>IF(5 = R136, N136 * -1, N136)</f>
        <v>-0</v>
      </c>
      <c r="BH136" s="19">
        <f>IF(5 = R136, O136 * -1, O136)</f>
        <v>-401421.29</v>
      </c>
      <c r="BI136" s="19">
        <f>IF(5 = R136, P136 * -1, P136)</f>
        <v>-0</v>
      </c>
    </row>
    <row r="137" spans="1:90">
      <c r="A137" s="9" t="s">
        <v>287</v>
      </c>
      <c r="B137" s="18" t="s">
        <v>288</v>
      </c>
      <c r="C137" s="20">
        <v>0.0</v>
      </c>
      <c r="D137" s="20">
        <v>0.0</v>
      </c>
      <c r="E137" s="20">
        <v>0.0</v>
      </c>
      <c r="F137" s="20">
        <v>0.0</v>
      </c>
      <c r="G137" s="20">
        <v>0.0</v>
      </c>
      <c r="H137" s="20">
        <v>0.0</v>
      </c>
      <c r="I137" s="20">
        <v>0.0</v>
      </c>
      <c r="J137" s="20">
        <v>4148.45</v>
      </c>
      <c r="K137" s="20">
        <v>0.0</v>
      </c>
      <c r="L137" s="20">
        <v>0.0</v>
      </c>
      <c r="M137" s="20">
        <v>84.2</v>
      </c>
      <c r="N137" s="20">
        <v>0.0</v>
      </c>
      <c r="O137" s="20">
        <v>4232.65</v>
      </c>
      <c r="P137" s="20">
        <v>84.2</v>
      </c>
      <c r="R137" s="19">
        <v>5.0</v>
      </c>
      <c r="V137" s="19">
        <v>100017.0</v>
      </c>
      <c r="W137" s="19">
        <v>100128578.0</v>
      </c>
      <c r="X137" s="18" t="s">
        <v>265</v>
      </c>
      <c r="Y137" s="18" t="s">
        <v>265</v>
      </c>
      <c r="Z137" s="18" t="s">
        <v>266</v>
      </c>
      <c r="AA137" s="18" t="s">
        <v>288</v>
      </c>
      <c r="AB137" s="19">
        <v>6650.0</v>
      </c>
      <c r="AC137" s="19">
        <v>1.0</v>
      </c>
      <c r="AD137" s="19">
        <v>6503.0</v>
      </c>
      <c r="AE137" s="19">
        <v>18.0</v>
      </c>
      <c r="AF137" s="18" t="s">
        <v>135</v>
      </c>
      <c r="AG137" s="19">
        <v>5.0</v>
      </c>
      <c r="AH137" s="19">
        <v>-1.0</v>
      </c>
      <c r="AI137" s="19">
        <v>2243.0</v>
      </c>
      <c r="AJ137" s="19">
        <v>2.0</v>
      </c>
      <c r="AK137" s="19">
        <v>0.0</v>
      </c>
      <c r="AL137" s="19">
        <v>0.0</v>
      </c>
      <c r="AM137" s="19">
        <v>0.0</v>
      </c>
      <c r="AN137" s="19">
        <v>0.0</v>
      </c>
      <c r="AO137" s="19">
        <v>0.0</v>
      </c>
      <c r="AP137" s="19">
        <v>0.0</v>
      </c>
      <c r="AQ137" s="19">
        <v>0.0</v>
      </c>
      <c r="AR137" s="19">
        <v>0.0</v>
      </c>
      <c r="AS137" s="19">
        <v>0.0</v>
      </c>
      <c r="AT137" s="19">
        <f>IF(5 = R137, C137 * -1, C137)</f>
        <v>-0</v>
      </c>
      <c r="AU137" s="19">
        <f>IF(5 = R137, D137 * -1, D137)</f>
        <v>-0</v>
      </c>
      <c r="AV137" s="19">
        <f>IF(5 = R137, E137 * -1, E137)</f>
        <v>-0</v>
      </c>
      <c r="AW137" s="19">
        <f>IF(5 = R137, F137 * -1, F137)</f>
        <v>-0</v>
      </c>
      <c r="AX137" s="19">
        <f>IF(5 = R137, G137 * -1, G137)</f>
        <v>-0</v>
      </c>
      <c r="AY137" s="19">
        <f>IF(5 = R137, H137 * -1, H137)</f>
        <v>-0</v>
      </c>
      <c r="AZ137" s="19">
        <f>IF(5 = R137, I137 * -1, I137)</f>
        <v>-0</v>
      </c>
      <c r="BA137" s="19">
        <f>IF(5 = R137, J137 * -1, J137)</f>
        <v>-4148.45</v>
      </c>
      <c r="BB137" s="19">
        <v>0.0</v>
      </c>
      <c r="BC137" s="19">
        <f>IF(5 = R137, K137 * -1, K137)</f>
        <v>-0</v>
      </c>
      <c r="BD137" s="19">
        <v>0.0</v>
      </c>
      <c r="BE137" s="19">
        <f>IF(5 = R137, L137 * -1, L137)</f>
        <v>-0</v>
      </c>
      <c r="BF137" s="19">
        <f>IF(5 = R137, M137 * -1, M137)</f>
        <v>-84.2</v>
      </c>
      <c r="BG137" s="19">
        <f>IF(5 = R137, N137 * -1, N137)</f>
        <v>-0</v>
      </c>
      <c r="BH137" s="19">
        <f>IF(5 = R137, O137 * -1, O137)</f>
        <v>-4232.65</v>
      </c>
      <c r="BI137" s="19">
        <f>IF(5 = R137, P137 * -1, P137)</f>
        <v>-84.2</v>
      </c>
    </row>
    <row r="138" spans="1:90">
      <c r="A138" s="9" t="s">
        <v>289</v>
      </c>
      <c r="B138" s="18" t="s">
        <v>290</v>
      </c>
      <c r="C138" s="20">
        <v>0.0</v>
      </c>
      <c r="D138" s="20">
        <v>0.0</v>
      </c>
      <c r="E138" s="20">
        <v>0.0</v>
      </c>
      <c r="F138" s="20">
        <v>0.0</v>
      </c>
      <c r="G138" s="20">
        <v>0.0</v>
      </c>
      <c r="H138" s="20">
        <v>0.0</v>
      </c>
      <c r="I138" s="20">
        <v>3000.0</v>
      </c>
      <c r="J138" s="20">
        <v>59753.0</v>
      </c>
      <c r="K138" s="20">
        <v>3000.0</v>
      </c>
      <c r="L138" s="20">
        <v>3530.5</v>
      </c>
      <c r="M138" s="20">
        <v>4023.63</v>
      </c>
      <c r="N138" s="20">
        <v>3400.83</v>
      </c>
      <c r="O138" s="20">
        <v>76707.96</v>
      </c>
      <c r="P138" s="20">
        <v>13954.96</v>
      </c>
      <c r="R138" s="19">
        <v>5.0</v>
      </c>
      <c r="V138" s="19">
        <v>100017.0</v>
      </c>
      <c r="W138" s="19">
        <v>100128578.0</v>
      </c>
      <c r="X138" s="18" t="s">
        <v>265</v>
      </c>
      <c r="Y138" s="18" t="s">
        <v>265</v>
      </c>
      <c r="Z138" s="18" t="s">
        <v>266</v>
      </c>
      <c r="AA138" s="18" t="s">
        <v>290</v>
      </c>
      <c r="AB138" s="19">
        <v>6720.0</v>
      </c>
      <c r="AC138" s="19">
        <v>1.0</v>
      </c>
      <c r="AD138" s="19">
        <v>6235.0</v>
      </c>
      <c r="AE138" s="19">
        <v>20.0</v>
      </c>
      <c r="AF138" s="18" t="s">
        <v>135</v>
      </c>
      <c r="AG138" s="19">
        <v>5.0</v>
      </c>
      <c r="AH138" s="19">
        <v>-1.0</v>
      </c>
      <c r="AI138" s="19">
        <v>2243.0</v>
      </c>
      <c r="AJ138" s="19">
        <v>7.0</v>
      </c>
      <c r="AK138" s="19">
        <v>0.0</v>
      </c>
      <c r="AL138" s="19">
        <v>0.0</v>
      </c>
      <c r="AM138" s="19">
        <v>0.0</v>
      </c>
      <c r="AN138" s="19">
        <v>0.0</v>
      </c>
      <c r="AO138" s="19">
        <v>3000.0</v>
      </c>
      <c r="AP138" s="19">
        <v>1.0</v>
      </c>
      <c r="AQ138" s="19">
        <v>3530.5</v>
      </c>
      <c r="AR138" s="19">
        <v>1.0</v>
      </c>
      <c r="AS138" s="19">
        <v>0.0</v>
      </c>
      <c r="AT138" s="19">
        <f>IF(5 = R138, C138 * -1, C138)</f>
        <v>-0</v>
      </c>
      <c r="AU138" s="19">
        <f>IF(5 = R138, D138 * -1, D138)</f>
        <v>-0</v>
      </c>
      <c r="AV138" s="19">
        <f>IF(5 = R138, E138 * -1, E138)</f>
        <v>-0</v>
      </c>
      <c r="AW138" s="19">
        <f>IF(5 = R138, F138 * -1, F138)</f>
        <v>-0</v>
      </c>
      <c r="AX138" s="19">
        <f>IF(5 = R138, G138 * -1, G138)</f>
        <v>-0</v>
      </c>
      <c r="AY138" s="19">
        <f>IF(5 = R138, H138 * -1, H138)</f>
        <v>-0</v>
      </c>
      <c r="AZ138" s="19">
        <f>IF(5 = R138, I138 * -1, I138)</f>
        <v>-3000</v>
      </c>
      <c r="BA138" s="19">
        <f>IF(5 = R138, J138 * -1, J138)</f>
        <v>-59753</v>
      </c>
      <c r="BB138" s="19">
        <v>-3000.0</v>
      </c>
      <c r="BC138" s="19">
        <f>IF(5 = R138, K138 * -1, K138)</f>
        <v>-3000</v>
      </c>
      <c r="BD138" s="19">
        <v>-3530.5</v>
      </c>
      <c r="BE138" s="19">
        <f>IF(5 = R138, L138 * -1, L138)</f>
        <v>-3530.5</v>
      </c>
      <c r="BF138" s="19">
        <f>IF(5 = R138, M138 * -1, M138)</f>
        <v>-4023.63</v>
      </c>
      <c r="BG138" s="19">
        <f>IF(5 = R138, N138 * -1, N138)</f>
        <v>-3400.83</v>
      </c>
      <c r="BH138" s="19">
        <f>IF(5 = R138, O138 * -1, O138)</f>
        <v>-76707.96</v>
      </c>
      <c r="BI138" s="19">
        <f>IF(5 = R138, P138 * -1, P138)</f>
        <v>-13954.96</v>
      </c>
    </row>
    <row r="139" spans="1:90">
      <c r="A139" s="9" t="s">
        <v>291</v>
      </c>
      <c r="B139" s="18" t="s">
        <v>292</v>
      </c>
      <c r="C139" s="20">
        <v>0.0</v>
      </c>
      <c r="D139" s="20">
        <v>0.0</v>
      </c>
      <c r="E139" s="20">
        <v>0.0</v>
      </c>
      <c r="F139" s="20">
        <v>0.0</v>
      </c>
      <c r="G139" s="20">
        <v>0.0</v>
      </c>
      <c r="H139" s="20">
        <v>0.0</v>
      </c>
      <c r="I139" s="20">
        <v>0.0</v>
      </c>
      <c r="J139" s="20">
        <v>7563.45</v>
      </c>
      <c r="K139" s="20">
        <v>0.0</v>
      </c>
      <c r="L139" s="20">
        <v>0.0</v>
      </c>
      <c r="M139" s="20">
        <v>0.0</v>
      </c>
      <c r="N139" s="20">
        <v>915.75</v>
      </c>
      <c r="O139" s="20">
        <v>8479.2</v>
      </c>
      <c r="P139" s="20">
        <v>915.75</v>
      </c>
      <c r="R139" s="19">
        <v>5.0</v>
      </c>
      <c r="V139" s="19">
        <v>100017.0</v>
      </c>
      <c r="W139" s="19">
        <v>100128578.0</v>
      </c>
      <c r="X139" s="18" t="s">
        <v>265</v>
      </c>
      <c r="Y139" s="18" t="s">
        <v>265</v>
      </c>
      <c r="Z139" s="18" t="s">
        <v>266</v>
      </c>
      <c r="AA139" s="18" t="s">
        <v>292</v>
      </c>
      <c r="AB139" s="19">
        <v>6740.0</v>
      </c>
      <c r="AC139" s="19">
        <v>1.0</v>
      </c>
      <c r="AD139" s="19">
        <v>6508.0</v>
      </c>
      <c r="AE139" s="19">
        <v>24.0</v>
      </c>
      <c r="AF139" s="18" t="s">
        <v>135</v>
      </c>
      <c r="AG139" s="19">
        <v>5.0</v>
      </c>
      <c r="AH139" s="19">
        <v>-1.0</v>
      </c>
      <c r="AI139" s="19">
        <v>2243.0</v>
      </c>
      <c r="AJ139" s="19">
        <v>2.0</v>
      </c>
      <c r="AK139" s="19">
        <v>0.0</v>
      </c>
      <c r="AL139" s="19">
        <v>0.0</v>
      </c>
      <c r="AM139" s="19">
        <v>0.0</v>
      </c>
      <c r="AN139" s="19">
        <v>0.0</v>
      </c>
      <c r="AO139" s="19">
        <v>0.0</v>
      </c>
      <c r="AP139" s="19">
        <v>0.0</v>
      </c>
      <c r="AQ139" s="19">
        <v>0.0</v>
      </c>
      <c r="AR139" s="19">
        <v>1.0</v>
      </c>
      <c r="AS139" s="19">
        <v>0.0</v>
      </c>
      <c r="AT139" s="19">
        <f>IF(5 = R139, C139 * -1, C139)</f>
        <v>-0</v>
      </c>
      <c r="AU139" s="19">
        <f>IF(5 = R139, D139 * -1, D139)</f>
        <v>-0</v>
      </c>
      <c r="AV139" s="19">
        <f>IF(5 = R139, E139 * -1, E139)</f>
        <v>-0</v>
      </c>
      <c r="AW139" s="19">
        <f>IF(5 = R139, F139 * -1, F139)</f>
        <v>-0</v>
      </c>
      <c r="AX139" s="19">
        <f>IF(5 = R139, G139 * -1, G139)</f>
        <v>-0</v>
      </c>
      <c r="AY139" s="19">
        <f>IF(5 = R139, H139 * -1, H139)</f>
        <v>-0</v>
      </c>
      <c r="AZ139" s="19">
        <f>IF(5 = R139, I139 * -1, I139)</f>
        <v>-0</v>
      </c>
      <c r="BA139" s="19">
        <f>IF(5 = R139, J139 * -1, J139)</f>
        <v>-7563.45</v>
      </c>
      <c r="BB139" s="19">
        <v>0.0</v>
      </c>
      <c r="BC139" s="19">
        <f>IF(5 = R139, K139 * -1, K139)</f>
        <v>-0</v>
      </c>
      <c r="BD139" s="19">
        <v>0.0</v>
      </c>
      <c r="BE139" s="19">
        <f>IF(5 = R139, L139 * -1, L139)</f>
        <v>-0</v>
      </c>
      <c r="BF139" s="19">
        <f>IF(5 = R139, M139 * -1, M139)</f>
        <v>-0</v>
      </c>
      <c r="BG139" s="19">
        <f>IF(5 = R139, N139 * -1, N139)</f>
        <v>-915.75</v>
      </c>
      <c r="BH139" s="19">
        <f>IF(5 = R139, O139 * -1, O139)</f>
        <v>-8479.2</v>
      </c>
      <c r="BI139" s="19">
        <f>IF(5 = R139, P139 * -1, P139)</f>
        <v>-915.75</v>
      </c>
    </row>
    <row r="140" spans="1:90">
      <c r="B140" s="7" t="s">
        <v>262</v>
      </c>
      <c r="C140" s="12">
        <f>IF(5 = R140, AT140 * -1, AT140)</f>
        <v>-0</v>
      </c>
      <c r="D140" s="12">
        <f>IF(5 = R140, AU140 * -1, AU140)</f>
        <v>-0</v>
      </c>
      <c r="E140" s="12">
        <f>IF(5 = R140, AV140 * -1, AV140)</f>
        <v>-0</v>
      </c>
      <c r="F140" s="12">
        <f>IF(5 = R140, AW140 * -1, AW140)</f>
        <v>-0</v>
      </c>
      <c r="G140" s="12">
        <f>IF(5 = R140, AX140 * -1, AX140)</f>
        <v>-0</v>
      </c>
      <c r="H140" s="12">
        <f>IF(5 = R140, AY140 * -1, AY140)</f>
        <v>-0</v>
      </c>
      <c r="I140" s="12">
        <f>IF(5 = R140, AZ140 * -1, AZ140)</f>
        <v>3000</v>
      </c>
      <c r="J140" s="12">
        <f>IF(5 = R140, BA140 * -1, BA140)</f>
        <v>491580.64</v>
      </c>
      <c r="K140" s="12">
        <f>IF(5 = R140, BC140 * -1, BC140)</f>
        <v>5187.92</v>
      </c>
      <c r="L140" s="12">
        <f>IF(5 = R140, BE140 * -1, BE140)</f>
        <v>6035.05</v>
      </c>
      <c r="M140" s="12">
        <f>IF(5 = R140, BF140 * -1, BF140)</f>
        <v>5692.17</v>
      </c>
      <c r="N140" s="12">
        <f>IF(5 = R140, BG140 * -1, BG140)</f>
        <v>5709.96</v>
      </c>
      <c r="O140" s="12">
        <f>IF(5 = R140, BH140 * -1, BH140)</f>
        <v>517205.74</v>
      </c>
      <c r="P140" s="12">
        <f>IF(5 = R140, BI140 * -1, BI140)</f>
        <v>22625.1</v>
      </c>
      <c r="R140" s="11">
        <v>5</v>
      </c>
      <c r="S140" s="13">
        <f>S139</f>
        <v>0</v>
      </c>
      <c r="T140" s="13">
        <f>T139</f>
        <v>0</v>
      </c>
      <c r="U140" s="11">
        <f>U139</f>
        <v>0</v>
      </c>
      <c r="V140" s="19"/>
      <c r="W140" s="19"/>
      <c r="X140" s="18"/>
      <c r="Y140" s="18"/>
      <c r="Z140" s="18"/>
      <c r="AA140" s="18"/>
      <c r="AB140" s="19"/>
      <c r="AC140" s="19"/>
      <c r="AD140" s="19"/>
      <c r="AE140" s="19"/>
      <c r="AF140" s="18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1">
        <f>SUM(AT126:AT139)</f>
        <v>0</v>
      </c>
      <c r="AU140" s="11">
        <f>SUM(AU126:AU139)</f>
        <v>0</v>
      </c>
      <c r="AV140" s="11">
        <f>SUM(AV126:AV139)</f>
        <v>0</v>
      </c>
      <c r="AW140" s="11">
        <f>SUM(AW126:AW139)</f>
        <v>0</v>
      </c>
      <c r="AX140" s="11">
        <f>SUM(AX126:AX139)</f>
        <v>0</v>
      </c>
      <c r="AY140" s="11">
        <f>SUM(AY126:AY139)</f>
        <v>0</v>
      </c>
      <c r="AZ140" s="11">
        <f>SUM(AZ126:AZ139)</f>
        <v>-3000</v>
      </c>
      <c r="BA140" s="11">
        <f>SUM(BA126:BA139)</f>
        <v>-491580.64</v>
      </c>
      <c r="BB140" s="19"/>
      <c r="BC140" s="11">
        <f>SUM(BC126:BC139)</f>
        <v>-5187.92</v>
      </c>
      <c r="BD140" s="19"/>
      <c r="BE140" s="11">
        <f>SUM(BE126:BE139)</f>
        <v>-6035.05</v>
      </c>
      <c r="BF140" s="11">
        <f>SUM(BF126:BF139)</f>
        <v>-5692.17</v>
      </c>
      <c r="BG140" s="11">
        <f>SUM(BG126:BG139)</f>
        <v>-5709.96</v>
      </c>
      <c r="BH140" s="11">
        <f>SUM(BH126:BH139)</f>
        <v>-517205.74</v>
      </c>
      <c r="BI140" s="11">
        <f>SUM(BI126:BI139)</f>
        <v>-22625.1</v>
      </c>
    </row>
    <row r="141" spans="1:90">
      <c r="B141" s="18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R141" s="19"/>
      <c r="V141" s="19"/>
      <c r="W141" s="19"/>
      <c r="X141" s="18"/>
      <c r="Y141" s="18"/>
      <c r="Z141" s="18"/>
      <c r="AA141" s="18"/>
      <c r="AB141" s="19"/>
      <c r="AC141" s="19"/>
      <c r="AD141" s="19"/>
      <c r="AE141" s="19"/>
      <c r="AF141" s="18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spans="1:90">
      <c r="B142" s="7" t="s">
        <v>129</v>
      </c>
      <c r="C142" s="12">
        <f>IF(5 = R142, AT142 * -1, AT142)</f>
        <v>-0</v>
      </c>
      <c r="D142" s="12">
        <f>IF(5 = R142, AU142 * -1, AU142)</f>
        <v>-0</v>
      </c>
      <c r="E142" s="12">
        <f>IF(5 = R142, AV142 * -1, AV142)</f>
        <v>-0</v>
      </c>
      <c r="F142" s="12">
        <f>IF(5 = R142, AW142 * -1, AW142)</f>
        <v>-0</v>
      </c>
      <c r="G142" s="12">
        <f>IF(5 = R142, AX142 * -1, AX142)</f>
        <v>-0</v>
      </c>
      <c r="H142" s="12">
        <f>IF(5 = R142, AY142 * -1, AY142)</f>
        <v>-0</v>
      </c>
      <c r="I142" s="12">
        <f>IF(5 = R142, AZ142 * -1, AZ142)</f>
        <v>149760.74</v>
      </c>
      <c r="J142" s="12">
        <f>IF(5 = R142, BA142 * -1, BA142)</f>
        <v>1332824.75</v>
      </c>
      <c r="K142" s="12">
        <f>IF(5 = R142, BC142 * -1, BC142)</f>
        <v>46283.27</v>
      </c>
      <c r="L142" s="12">
        <f>IF(5 = R142, BE142 * -1, BE142)</f>
        <v>35724.05</v>
      </c>
      <c r="M142" s="12">
        <f>IF(5 = R142, BF142 * -1, BF142)</f>
        <v>41460.35</v>
      </c>
      <c r="N142" s="12">
        <f>IF(5 = R142, BG142 * -1, BG142)</f>
        <v>40671.98</v>
      </c>
      <c r="O142" s="12">
        <f>IF(5 = R142, BH142 * -1, BH142)</f>
        <v>1646725.14</v>
      </c>
      <c r="P142" s="12">
        <f>IF(5 = R142, BI142 * -1, BI142)</f>
        <v>164139.65</v>
      </c>
      <c r="R142" s="11">
        <v>5</v>
      </c>
      <c r="S142" s="13">
        <f>S139</f>
        <v>0</v>
      </c>
      <c r="T142" s="13">
        <f>T139</f>
        <v>0</v>
      </c>
      <c r="U142" s="11">
        <f>U139</f>
        <v>0</v>
      </c>
      <c r="V142" s="19"/>
      <c r="W142" s="19"/>
      <c r="X142" s="18"/>
      <c r="Y142" s="18"/>
      <c r="Z142" s="18"/>
      <c r="AA142" s="18"/>
      <c r="AB142" s="19"/>
      <c r="AC142" s="19"/>
      <c r="AD142" s="19"/>
      <c r="AE142" s="19"/>
      <c r="AF142" s="18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1">
        <f>SUM(AT49:AT57)+SUM(AT61:AT65)+SUM(AT69:AT81)+SUM(AT85:AT90)+SUM(AT94:AT103)+SUM(AT107:AT110)+SUM(AT114:AT117)+SUM(AT121:AT122)+SUM(AT126:AT139)</f>
        <v>0</v>
      </c>
      <c r="AU142" s="11">
        <f>SUM(AU49:AU57)+SUM(AU61:AU65)+SUM(AU69:AU81)+SUM(AU85:AU90)+SUM(AU94:AU103)+SUM(AU107:AU110)+SUM(AU114:AU117)+SUM(AU121:AU122)+SUM(AU126:AU139)</f>
        <v>0</v>
      </c>
      <c r="AV142" s="11">
        <f>SUM(AV49:AV57)+SUM(AV61:AV65)+SUM(AV69:AV81)+SUM(AV85:AV90)+SUM(AV94:AV103)+SUM(AV107:AV110)+SUM(AV114:AV117)+SUM(AV121:AV122)+SUM(AV126:AV139)</f>
        <v>0</v>
      </c>
      <c r="AW142" s="11">
        <f>SUM(AW49:AW57)+SUM(AW61:AW65)+SUM(AW69:AW81)+SUM(AW85:AW90)+SUM(AW94:AW103)+SUM(AW107:AW110)+SUM(AW114:AW117)+SUM(AW121:AW122)+SUM(AW126:AW139)</f>
        <v>0</v>
      </c>
      <c r="AX142" s="11">
        <f>SUM(AX49:AX57)+SUM(AX61:AX65)+SUM(AX69:AX81)+SUM(AX85:AX90)+SUM(AX94:AX103)+SUM(AX107:AX110)+SUM(AX114:AX117)+SUM(AX121:AX122)+SUM(AX126:AX139)</f>
        <v>0</v>
      </c>
      <c r="AY142" s="11">
        <f>SUM(AY49:AY57)+SUM(AY61:AY65)+SUM(AY69:AY81)+SUM(AY85:AY90)+SUM(AY94:AY103)+SUM(AY107:AY110)+SUM(AY114:AY117)+SUM(AY121:AY122)+SUM(AY126:AY139)</f>
        <v>0</v>
      </c>
      <c r="AZ142" s="11">
        <f>SUM(AZ49:AZ57)+SUM(AZ61:AZ65)+SUM(AZ69:AZ81)+SUM(AZ85:AZ90)+SUM(AZ94:AZ103)+SUM(AZ107:AZ110)+SUM(AZ114:AZ117)+SUM(AZ121:AZ122)+SUM(AZ126:AZ139)</f>
        <v>-149760.74</v>
      </c>
      <c r="BA142" s="11">
        <f>SUM(BA49:BA57)+SUM(BA61:BA65)+SUM(BA69:BA81)+SUM(BA85:BA90)+SUM(BA94:BA103)+SUM(BA107:BA110)+SUM(BA114:BA117)+SUM(BA121:BA122)+SUM(BA126:BA139)</f>
        <v>-1332824.75</v>
      </c>
      <c r="BB142" s="19"/>
      <c r="BC142" s="11">
        <f>SUM(BC49:BC57)+SUM(BC61:BC65)+SUM(BC69:BC81)+SUM(BC85:BC90)+SUM(BC94:BC103)+SUM(BC107:BC110)+SUM(BC114:BC117)+SUM(BC121:BC122)+SUM(BC126:BC139)</f>
        <v>-46283.27</v>
      </c>
      <c r="BD142" s="19"/>
      <c r="BE142" s="11">
        <f>SUM(BE49:BE57)+SUM(BE61:BE65)+SUM(BE69:BE81)+SUM(BE85:BE90)+SUM(BE94:BE103)+SUM(BE107:BE110)+SUM(BE114:BE117)+SUM(BE121:BE122)+SUM(BE126:BE139)</f>
        <v>-35724.05</v>
      </c>
      <c r="BF142" s="11">
        <f>SUM(BF49:BF57)+SUM(BF61:BF65)+SUM(BF69:BF81)+SUM(BF85:BF90)+SUM(BF94:BF103)+SUM(BF107:BF110)+SUM(BF114:BF117)+SUM(BF121:BF122)+SUM(BF126:BF139)</f>
        <v>-41460.35</v>
      </c>
      <c r="BG142" s="11">
        <f>SUM(BG49:BG57)+SUM(BG61:BG65)+SUM(BG69:BG81)+SUM(BG85:BG90)+SUM(BG94:BG103)+SUM(BG107:BG110)+SUM(BG114:BG117)+SUM(BG121:BG122)+SUM(BG126:BG139)</f>
        <v>-40671.98</v>
      </c>
      <c r="BH142" s="11">
        <f>SUM(BH49:BH57)+SUM(BH61:BH65)+SUM(BH69:BH81)+SUM(BH85:BH90)+SUM(BH94:BH103)+SUM(BH107:BH110)+SUM(BH114:BH117)+SUM(BH121:BH122)+SUM(BH126:BH139)</f>
        <v>-1646725.14</v>
      </c>
      <c r="BI142" s="11">
        <f>SUM(BI49:BI57)+SUM(BI61:BI65)+SUM(BI69:BI81)+SUM(BI85:BI90)+SUM(BI94:BI103)+SUM(BI107:BI110)+SUM(BI114:BI117)+SUM(BI121:BI122)+SUM(BI126:BI139)</f>
        <v>-164139.65</v>
      </c>
    </row>
    <row r="143" spans="1:90">
      <c r="B143" s="18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R143" s="19"/>
      <c r="V143" s="19"/>
      <c r="W143" s="19"/>
      <c r="X143" s="18"/>
      <c r="Y143" s="18"/>
      <c r="Z143" s="18"/>
      <c r="AA143" s="18"/>
      <c r="AB143" s="19"/>
      <c r="AC143" s="19"/>
      <c r="AD143" s="19"/>
      <c r="AE143" s="19"/>
      <c r="AF143" s="18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spans="1:90">
      <c r="B144" s="7" t="s">
        <v>293</v>
      </c>
      <c r="C144" s="12">
        <f>IF(5 = R144, AT144 * -1, AT144)</f>
        <v>0</v>
      </c>
      <c r="D144" s="12">
        <f>IF(5 = R144, AU144 * -1, AU144)</f>
        <v>0</v>
      </c>
      <c r="E144" s="12">
        <f>IF(5 = R144, AV144 * -1, AV144)</f>
        <v>0</v>
      </c>
      <c r="F144" s="12">
        <f>IF(5 = R144, AW144 * -1, AW144)</f>
        <v>0</v>
      </c>
      <c r="G144" s="12">
        <f>IF(5 = R144, AX144 * -1, AX144)</f>
        <v>0</v>
      </c>
      <c r="H144" s="12">
        <f>IF(5 = R144, AY144 * -1, AY144)</f>
        <v>0</v>
      </c>
      <c r="I144" s="12">
        <f>IF(5 = R144, AZ144 * -1, AZ144)</f>
        <v>-114259.31</v>
      </c>
      <c r="J144" s="12">
        <f>IF(5 = R144, BA144 * -1, BA144)</f>
        <v>76322.13</v>
      </c>
      <c r="K144" s="12">
        <f>IF(5 = R144, BC144 * -1, BC144)</f>
        <v>38135.33</v>
      </c>
      <c r="L144" s="12">
        <f>IF(5 = R144, BE144 * -1, BE144)</f>
        <v>49663.7</v>
      </c>
      <c r="M144" s="12">
        <f>IF(5 = R144, BF144 * -1, BF144)</f>
        <v>48598.57</v>
      </c>
      <c r="N144" s="12">
        <f>IF(5 = R144, BG144 * -1, BG144)</f>
        <v>49758</v>
      </c>
      <c r="O144" s="12">
        <f>IF(5 = R144, BH144 * -1, BH144)</f>
        <v>148218.42</v>
      </c>
      <c r="P144" s="12">
        <f>IF(5 = R144, BI144 * -1, BI144)</f>
        <v>186155.6</v>
      </c>
      <c r="R144" s="11">
        <v>4</v>
      </c>
      <c r="S144" s="13">
        <f>S139</f>
        <v>0</v>
      </c>
      <c r="T144" s="13">
        <f>T139</f>
        <v>0</v>
      </c>
      <c r="U144" s="11">
        <f>U139</f>
        <v>0</v>
      </c>
      <c r="V144" s="19"/>
      <c r="W144" s="19"/>
      <c r="X144" s="18"/>
      <c r="Y144" s="18"/>
      <c r="Z144" s="18"/>
      <c r="AA144" s="18"/>
      <c r="AB144" s="19"/>
      <c r="AC144" s="19"/>
      <c r="AD144" s="19"/>
      <c r="AE144" s="19"/>
      <c r="AF144" s="18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1">
        <f>SUM(AT10:AT20)+SUM(AT24:AT28)+SUM(AT32:AT42)+SUM(AT49:AT57)+SUM(AT61:AT65)+SUM(AT69:AT81)+SUM(AT85:AT90)+SUM(AT94:AT103)+SUM(AT107:AT110)+SUM(AT114:AT117)+SUM(AT121:AT122)+SUM(AT126:AT139)</f>
        <v>0</v>
      </c>
      <c r="AU144" s="11">
        <f>SUM(AU10:AU20)+SUM(AU24:AU28)+SUM(AU32:AU42)+SUM(AU49:AU57)+SUM(AU61:AU65)+SUM(AU69:AU81)+SUM(AU85:AU90)+SUM(AU94:AU103)+SUM(AU107:AU110)+SUM(AU114:AU117)+SUM(AU121:AU122)+SUM(AU126:AU139)</f>
        <v>0</v>
      </c>
      <c r="AV144" s="11">
        <f>SUM(AV10:AV20)+SUM(AV24:AV28)+SUM(AV32:AV42)+SUM(AV49:AV57)+SUM(AV61:AV65)+SUM(AV69:AV81)+SUM(AV85:AV90)+SUM(AV94:AV103)+SUM(AV107:AV110)+SUM(AV114:AV117)+SUM(AV121:AV122)+SUM(AV126:AV139)</f>
        <v>0</v>
      </c>
      <c r="AW144" s="11">
        <f>SUM(AW10:AW20)+SUM(AW24:AW28)+SUM(AW32:AW42)+SUM(AW49:AW57)+SUM(AW61:AW65)+SUM(AW69:AW81)+SUM(AW85:AW90)+SUM(AW94:AW103)+SUM(AW107:AW110)+SUM(AW114:AW117)+SUM(AW121:AW122)+SUM(AW126:AW139)</f>
        <v>0</v>
      </c>
      <c r="AX144" s="11">
        <f>SUM(AX10:AX20)+SUM(AX24:AX28)+SUM(AX32:AX42)+SUM(AX49:AX57)+SUM(AX61:AX65)+SUM(AX69:AX81)+SUM(AX85:AX90)+SUM(AX94:AX103)+SUM(AX107:AX110)+SUM(AX114:AX117)+SUM(AX121:AX122)+SUM(AX126:AX139)</f>
        <v>0</v>
      </c>
      <c r="AY144" s="11">
        <f>SUM(AY10:AY20)+SUM(AY24:AY28)+SUM(AY32:AY42)+SUM(AY49:AY57)+SUM(AY61:AY65)+SUM(AY69:AY81)+SUM(AY85:AY90)+SUM(AY94:AY103)+SUM(AY107:AY110)+SUM(AY114:AY117)+SUM(AY121:AY122)+SUM(AY126:AY139)</f>
        <v>0</v>
      </c>
      <c r="AZ144" s="11">
        <f>SUM(AZ10:AZ20)+SUM(AZ24:AZ28)+SUM(AZ32:AZ42)+SUM(AZ49:AZ57)+SUM(AZ61:AZ65)+SUM(AZ69:AZ81)+SUM(AZ85:AZ90)+SUM(AZ94:AZ103)+SUM(AZ107:AZ110)+SUM(AZ114:AZ117)+SUM(AZ121:AZ122)+SUM(AZ126:AZ139)</f>
        <v>-114259.31</v>
      </c>
      <c r="BA144" s="11">
        <f>SUM(BA10:BA20)+SUM(BA24:BA28)+SUM(BA32:BA42)+SUM(BA49:BA57)+SUM(BA61:BA65)+SUM(BA69:BA81)+SUM(BA85:BA90)+SUM(BA94:BA103)+SUM(BA107:BA110)+SUM(BA114:BA117)+SUM(BA121:BA122)+SUM(BA126:BA139)</f>
        <v>76322.13</v>
      </c>
      <c r="BB144" s="19"/>
      <c r="BC144" s="11">
        <f>SUM(BC10:BC20)+SUM(BC24:BC28)+SUM(BC32:BC42)+SUM(BC49:BC57)+SUM(BC61:BC65)+SUM(BC69:BC81)+SUM(BC85:BC90)+SUM(BC94:BC103)+SUM(BC107:BC110)+SUM(BC114:BC117)+SUM(BC121:BC122)+SUM(BC126:BC139)</f>
        <v>38135.33</v>
      </c>
      <c r="BD144" s="19"/>
      <c r="BE144" s="11">
        <f>SUM(BE10:BE20)+SUM(BE24:BE28)+SUM(BE32:BE42)+SUM(BE49:BE57)+SUM(BE61:BE65)+SUM(BE69:BE81)+SUM(BE85:BE90)+SUM(BE94:BE103)+SUM(BE107:BE110)+SUM(BE114:BE117)+SUM(BE121:BE122)+SUM(BE126:BE139)</f>
        <v>49663.7</v>
      </c>
      <c r="BF144" s="11">
        <f>SUM(BF10:BF20)+SUM(BF24:BF28)+SUM(BF32:BF42)+SUM(BF49:BF57)+SUM(BF61:BF65)+SUM(BF69:BF81)+SUM(BF85:BF90)+SUM(BF94:BF103)+SUM(BF107:BF110)+SUM(BF114:BF117)+SUM(BF121:BF122)+SUM(BF126:BF139)</f>
        <v>48598.57</v>
      </c>
      <c r="BG144" s="11">
        <f>SUM(BG10:BG20)+SUM(BG24:BG28)+SUM(BG32:BG42)+SUM(BG49:BG57)+SUM(BG61:BG65)+SUM(BG69:BG81)+SUM(BG85:BG90)+SUM(BG94:BG103)+SUM(BG107:BG110)+SUM(BG114:BG117)+SUM(BG121:BG122)+SUM(BG126:BG139)</f>
        <v>49758</v>
      </c>
      <c r="BH144" s="11">
        <f>SUM(BH10:BH20)+SUM(BH24:BH28)+SUM(BH32:BH42)+SUM(BH49:BH57)+SUM(BH61:BH65)+SUM(BH69:BH81)+SUM(BH85:BH90)+SUM(BH94:BH103)+SUM(BH107:BH110)+SUM(BH114:BH117)+SUM(BH121:BH122)+SUM(BH126:BH139)</f>
        <v>148218.42</v>
      </c>
      <c r="BI144" s="11">
        <f>SUM(BI10:BI20)+SUM(BI24:BI28)+SUM(BI32:BI42)+SUM(BI49:BI57)+SUM(BI61:BI65)+SUM(BI69:BI81)+SUM(BI85:BI90)+SUM(BI94:BI103)+SUM(BI107:BI110)+SUM(BI114:BI117)+SUM(BI121:BI122)+SUM(BI126:BI139)</f>
        <v>186155.6</v>
      </c>
    </row>
    <row r="145" spans="1:90">
      <c r="B145" s="18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R145" s="19"/>
      <c r="V145" s="19"/>
      <c r="W145" s="19"/>
      <c r="X145" s="18"/>
      <c r="Y145" s="18"/>
      <c r="Z145" s="18"/>
      <c r="AA145" s="18"/>
      <c r="AB145" s="19"/>
      <c r="AC145" s="19"/>
      <c r="AD145" s="19"/>
      <c r="AE145" s="19"/>
      <c r="AF145" s="18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spans="1:90">
      <c r="A146" s="7" t="s">
        <v>294</v>
      </c>
      <c r="B146" s="18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R146" s="19"/>
      <c r="V146" s="19"/>
      <c r="W146" s="19"/>
      <c r="X146" s="18"/>
      <c r="Y146" s="18"/>
      <c r="Z146" s="18"/>
      <c r="AA146" s="18"/>
      <c r="AB146" s="19"/>
      <c r="AC146" s="19"/>
      <c r="AD146" s="19"/>
      <c r="AE146" s="19"/>
      <c r="AF146" s="18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spans="1:90">
      <c r="A147" s="14" t="s">
        <v>295</v>
      </c>
      <c r="B147" s="18" t="s">
        <v>296</v>
      </c>
      <c r="C147" s="20">
        <v>0.0</v>
      </c>
      <c r="D147" s="20">
        <v>0.0</v>
      </c>
      <c r="E147" s="20">
        <v>0.0</v>
      </c>
      <c r="F147" s="20">
        <v>0.0</v>
      </c>
      <c r="G147" s="20">
        <v>0.0</v>
      </c>
      <c r="H147" s="20">
        <v>0.0</v>
      </c>
      <c r="I147" s="20">
        <v>1262.56</v>
      </c>
      <c r="J147" s="20">
        <v>63782.07</v>
      </c>
      <c r="K147" s="20">
        <v>1.36</v>
      </c>
      <c r="L147" s="20">
        <v>1.36</v>
      </c>
      <c r="M147" s="20">
        <v>1.23</v>
      </c>
      <c r="N147" s="20">
        <v>0.0</v>
      </c>
      <c r="O147" s="20">
        <v>65048.58</v>
      </c>
      <c r="P147" s="20">
        <v>3.95</v>
      </c>
      <c r="R147" s="19">
        <v>4.0</v>
      </c>
      <c r="V147" s="19">
        <v>100017.0</v>
      </c>
      <c r="W147" s="19">
        <v>100128578.0</v>
      </c>
      <c r="X147" s="18" t="s">
        <v>297</v>
      </c>
      <c r="Y147" s="18" t="s">
        <v>297</v>
      </c>
      <c r="Z147" s="18" t="s">
        <v>298</v>
      </c>
      <c r="AA147" s="18" t="s">
        <v>296</v>
      </c>
      <c r="AB147" s="19">
        <v>9020.0</v>
      </c>
      <c r="AC147" s="19">
        <v>1.0</v>
      </c>
      <c r="AD147" s="19">
        <v>6526.0</v>
      </c>
      <c r="AE147" s="19">
        <v>1.0</v>
      </c>
      <c r="AF147" s="18" t="s">
        <v>299</v>
      </c>
      <c r="AG147" s="19">
        <v>4.0</v>
      </c>
      <c r="AH147" s="19">
        <v>1.0</v>
      </c>
      <c r="AI147" s="19">
        <v>2245.0</v>
      </c>
      <c r="AJ147" s="19">
        <v>5.0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1262.56</v>
      </c>
      <c r="AP147" s="19">
        <v>1.0</v>
      </c>
      <c r="AQ147" s="19">
        <v>1.36</v>
      </c>
      <c r="AR147" s="19">
        <v>0.0</v>
      </c>
      <c r="AS147" s="19">
        <v>0.0</v>
      </c>
      <c r="AT147" s="19">
        <f>IF(5 = R147, C147 * -1, C147)</f>
        <v>0</v>
      </c>
      <c r="AU147" s="19">
        <f>IF(5 = R147, D147 * -1, D147)</f>
        <v>0</v>
      </c>
      <c r="AV147" s="19">
        <f>IF(5 = R147, E147 * -1, E147)</f>
        <v>0</v>
      </c>
      <c r="AW147" s="19">
        <f>IF(5 = R147, F147 * -1, F147)</f>
        <v>0</v>
      </c>
      <c r="AX147" s="19">
        <f>IF(5 = R147, G147 * -1, G147)</f>
        <v>0</v>
      </c>
      <c r="AY147" s="19">
        <f>IF(5 = R147, H147 * -1, H147)</f>
        <v>0</v>
      </c>
      <c r="AZ147" s="19">
        <f>IF(5 = R147, I147 * -1, I147)</f>
        <v>1262.56</v>
      </c>
      <c r="BA147" s="19">
        <f>IF(5 = R147, J147 * -1, J147)</f>
        <v>63782.07</v>
      </c>
      <c r="BB147" s="19">
        <v>1.36</v>
      </c>
      <c r="BC147" s="19">
        <f>IF(5 = R147, K147 * -1, K147)</f>
        <v>1.36</v>
      </c>
      <c r="BD147" s="19">
        <v>1.36</v>
      </c>
      <c r="BE147" s="19">
        <f>IF(5 = R147, L147 * -1, L147)</f>
        <v>1.36</v>
      </c>
      <c r="BF147" s="19">
        <f>IF(5 = R147, M147 * -1, M147)</f>
        <v>1.23</v>
      </c>
      <c r="BG147" s="19">
        <f>IF(5 = R147, N147 * -1, N147)</f>
        <v>0</v>
      </c>
      <c r="BH147" s="19">
        <f>IF(5 = R147, O147 * -1, O147)</f>
        <v>65048.58</v>
      </c>
      <c r="BI147" s="19">
        <f>IF(5 = R147, P147 * -1, P147)</f>
        <v>3.95</v>
      </c>
    </row>
    <row r="148" spans="1:90">
      <c r="B148" s="7" t="s">
        <v>294</v>
      </c>
      <c r="C148" s="12">
        <f>IF(5 = R148, AT148 * -1, AT148)</f>
        <v>0</v>
      </c>
      <c r="D148" s="12">
        <f>IF(5 = R148, AU148 * -1, AU148)</f>
        <v>0</v>
      </c>
      <c r="E148" s="12">
        <f>IF(5 = R148, AV148 * -1, AV148)</f>
        <v>0</v>
      </c>
      <c r="F148" s="12">
        <f>IF(5 = R148, AW148 * -1, AW148)</f>
        <v>0</v>
      </c>
      <c r="G148" s="12">
        <f>IF(5 = R148, AX148 * -1, AX148)</f>
        <v>0</v>
      </c>
      <c r="H148" s="12">
        <f>IF(5 = R148, AY148 * -1, AY148)</f>
        <v>0</v>
      </c>
      <c r="I148" s="12">
        <f>IF(5 = R148, AZ148 * -1, AZ148)</f>
        <v>1262.56</v>
      </c>
      <c r="J148" s="12">
        <f>IF(5 = R148, BA148 * -1, BA148)</f>
        <v>63782.07</v>
      </c>
      <c r="K148" s="12">
        <f>IF(5 = R148, BC148 * -1, BC148)</f>
        <v>1.36</v>
      </c>
      <c r="L148" s="12">
        <f>IF(5 = R148, BE148 * -1, BE148)</f>
        <v>1.36</v>
      </c>
      <c r="M148" s="12">
        <f>IF(5 = R148, BF148 * -1, BF148)</f>
        <v>1.23</v>
      </c>
      <c r="N148" s="12">
        <f>IF(5 = R148, BG148 * -1, BG148)</f>
        <v>0</v>
      </c>
      <c r="O148" s="12">
        <f>IF(5 = R148, BH148 * -1, BH148)</f>
        <v>65048.58</v>
      </c>
      <c r="P148" s="12">
        <f>IF(5 = R148, BI148 * -1, BI148)</f>
        <v>3.95</v>
      </c>
      <c r="R148" s="11">
        <v>4</v>
      </c>
      <c r="S148" s="13">
        <f>S147</f>
        <v>0</v>
      </c>
      <c r="T148" s="13">
        <f>T147</f>
        <v>0</v>
      </c>
      <c r="U148" s="11">
        <f>U147</f>
        <v>0</v>
      </c>
      <c r="V148" s="19"/>
      <c r="W148" s="19"/>
      <c r="X148" s="18"/>
      <c r="Y148" s="18"/>
      <c r="Z148" s="18"/>
      <c r="AA148" s="18"/>
      <c r="AB148" s="19"/>
      <c r="AC148" s="19"/>
      <c r="AD148" s="19"/>
      <c r="AE148" s="19"/>
      <c r="AF148" s="18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1">
        <f>SUM(AT147:AT147)</f>
        <v>0</v>
      </c>
      <c r="AU148" s="11">
        <f>SUM(AU147:AU147)</f>
        <v>0</v>
      </c>
      <c r="AV148" s="11">
        <f>SUM(AV147:AV147)</f>
        <v>0</v>
      </c>
      <c r="AW148" s="11">
        <f>SUM(AW147:AW147)</f>
        <v>0</v>
      </c>
      <c r="AX148" s="11">
        <f>SUM(AX147:AX147)</f>
        <v>0</v>
      </c>
      <c r="AY148" s="11">
        <f>SUM(AY147:AY147)</f>
        <v>0</v>
      </c>
      <c r="AZ148" s="11">
        <f>SUM(AZ147:AZ147)</f>
        <v>1262.56</v>
      </c>
      <c r="BA148" s="11">
        <f>SUM(BA147:BA147)</f>
        <v>63782.07</v>
      </c>
      <c r="BB148" s="19"/>
      <c r="BC148" s="11">
        <f>SUM(BC147:BC147)</f>
        <v>1.36</v>
      </c>
      <c r="BD148" s="19"/>
      <c r="BE148" s="11">
        <f>SUM(BE147:BE147)</f>
        <v>1.36</v>
      </c>
      <c r="BF148" s="11">
        <f>SUM(BF147:BF147)</f>
        <v>1.23</v>
      </c>
      <c r="BG148" s="11">
        <f>SUM(BG147:BG147)</f>
        <v>0</v>
      </c>
      <c r="BH148" s="11">
        <f>SUM(BH147:BH147)</f>
        <v>65048.58</v>
      </c>
      <c r="BI148" s="11">
        <f>SUM(BI147:BI147)</f>
        <v>3.95</v>
      </c>
    </row>
    <row r="149" spans="1:90">
      <c r="B149" s="18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R149" s="19"/>
      <c r="V149" s="19"/>
      <c r="W149" s="19"/>
      <c r="X149" s="18"/>
      <c r="Y149" s="18"/>
      <c r="Z149" s="18"/>
      <c r="AA149" s="18"/>
      <c r="AB149" s="19"/>
      <c r="AC149" s="19"/>
      <c r="AD149" s="19"/>
      <c r="AE149" s="19"/>
      <c r="AF149" s="18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</row>
    <row r="150" spans="1:90">
      <c r="A150" s="7" t="s">
        <v>300</v>
      </c>
      <c r="B150" s="18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R150" s="19"/>
      <c r="V150" s="19"/>
      <c r="W150" s="19"/>
      <c r="X150" s="18"/>
      <c r="Y150" s="18"/>
      <c r="Z150" s="18"/>
      <c r="AA150" s="18"/>
      <c r="AB150" s="19"/>
      <c r="AC150" s="19"/>
      <c r="AD150" s="19"/>
      <c r="AE150" s="19"/>
      <c r="AF150" s="18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</row>
    <row r="151" spans="1:90">
      <c r="A151" s="14" t="s">
        <v>301</v>
      </c>
      <c r="B151" s="18" t="s">
        <v>302</v>
      </c>
      <c r="C151" s="20">
        <v>0.0</v>
      </c>
      <c r="D151" s="20">
        <v>0.0</v>
      </c>
      <c r="E151" s="20">
        <v>0.0</v>
      </c>
      <c r="F151" s="20">
        <v>0.0</v>
      </c>
      <c r="G151" s="20">
        <v>0.0</v>
      </c>
      <c r="H151" s="20">
        <v>0.0</v>
      </c>
      <c r="I151" s="20">
        <v>6944.4</v>
      </c>
      <c r="J151" s="20">
        <v>200567.24</v>
      </c>
      <c r="K151" s="20">
        <v>20833.33</v>
      </c>
      <c r="L151" s="20">
        <v>20833.33</v>
      </c>
      <c r="M151" s="20">
        <v>20833.33</v>
      </c>
      <c r="N151" s="20">
        <v>20833.33</v>
      </c>
      <c r="O151" s="20">
        <v>290844.96</v>
      </c>
      <c r="P151" s="20">
        <v>83333.32</v>
      </c>
      <c r="R151" s="19">
        <v>5.0</v>
      </c>
      <c r="V151" s="19">
        <v>100017.0</v>
      </c>
      <c r="W151" s="19">
        <v>100128578.0</v>
      </c>
      <c r="X151" s="18" t="s">
        <v>303</v>
      </c>
      <c r="Y151" s="18" t="s">
        <v>303</v>
      </c>
      <c r="Z151" s="18" t="s">
        <v>304</v>
      </c>
      <c r="AA151" s="18" t="s">
        <v>302</v>
      </c>
      <c r="AB151" s="19">
        <v>9180.0</v>
      </c>
      <c r="AC151" s="19">
        <v>1.0</v>
      </c>
      <c r="AD151" s="19">
        <v>6535.0</v>
      </c>
      <c r="AE151" s="19">
        <v>2.0</v>
      </c>
      <c r="AF151" s="18" t="s">
        <v>305</v>
      </c>
      <c r="AG151" s="19">
        <v>5.0</v>
      </c>
      <c r="AH151" s="19">
        <v>-1.0</v>
      </c>
      <c r="AI151" s="19">
        <v>2225.0</v>
      </c>
      <c r="AJ151" s="19">
        <v>6.0</v>
      </c>
      <c r="AK151" s="19">
        <v>0.0</v>
      </c>
      <c r="AL151" s="19">
        <v>0.0</v>
      </c>
      <c r="AM151" s="19">
        <v>0.0</v>
      </c>
      <c r="AN151" s="19">
        <v>0.0</v>
      </c>
      <c r="AO151" s="19">
        <v>6944.4</v>
      </c>
      <c r="AP151" s="19">
        <v>1.0</v>
      </c>
      <c r="AQ151" s="19">
        <v>20833.33</v>
      </c>
      <c r="AR151" s="19">
        <v>1.0</v>
      </c>
      <c r="AS151" s="19">
        <v>0.0</v>
      </c>
      <c r="AT151" s="19">
        <f>IF(5 = R151, C151 * -1, C151)</f>
        <v>-0</v>
      </c>
      <c r="AU151" s="19">
        <f>IF(5 = R151, D151 * -1, D151)</f>
        <v>-0</v>
      </c>
      <c r="AV151" s="19">
        <f>IF(5 = R151, E151 * -1, E151)</f>
        <v>-0</v>
      </c>
      <c r="AW151" s="19">
        <f>IF(5 = R151, F151 * -1, F151)</f>
        <v>-0</v>
      </c>
      <c r="AX151" s="19">
        <f>IF(5 = R151, G151 * -1, G151)</f>
        <v>-0</v>
      </c>
      <c r="AY151" s="19">
        <f>IF(5 = R151, H151 * -1, H151)</f>
        <v>-0</v>
      </c>
      <c r="AZ151" s="19">
        <f>IF(5 = R151, I151 * -1, I151)</f>
        <v>-6944.4</v>
      </c>
      <c r="BA151" s="19">
        <f>IF(5 = R151, J151 * -1, J151)</f>
        <v>-200567.24</v>
      </c>
      <c r="BB151" s="19">
        <v>-20833.33</v>
      </c>
      <c r="BC151" s="19">
        <f>IF(5 = R151, K151 * -1, K151)</f>
        <v>-20833.33</v>
      </c>
      <c r="BD151" s="19">
        <v>-20833.33</v>
      </c>
      <c r="BE151" s="19">
        <f>IF(5 = R151, L151 * -1, L151)</f>
        <v>-20833.33</v>
      </c>
      <c r="BF151" s="19">
        <f>IF(5 = R151, M151 * -1, M151)</f>
        <v>-20833.33</v>
      </c>
      <c r="BG151" s="19">
        <f>IF(5 = R151, N151 * -1, N151)</f>
        <v>-20833.33</v>
      </c>
      <c r="BH151" s="19">
        <f>IF(5 = R151, O151 * -1, O151)</f>
        <v>-290844.96</v>
      </c>
      <c r="BI151" s="19">
        <f>IF(5 = R151, P151 * -1, P151)</f>
        <v>-83333.32</v>
      </c>
    </row>
    <row r="152" spans="1:90">
      <c r="A152" s="14" t="s">
        <v>306</v>
      </c>
      <c r="B152" s="18" t="s">
        <v>307</v>
      </c>
      <c r="C152" s="20">
        <v>0.0</v>
      </c>
      <c r="D152" s="20">
        <v>0.0</v>
      </c>
      <c r="E152" s="20">
        <v>0.0</v>
      </c>
      <c r="F152" s="20">
        <v>0.0</v>
      </c>
      <c r="G152" s="20">
        <v>0.0</v>
      </c>
      <c r="H152" s="20">
        <v>0.0</v>
      </c>
      <c r="I152" s="20">
        <v>0.0</v>
      </c>
      <c r="J152" s="20">
        <v>143944.99</v>
      </c>
      <c r="K152" s="20">
        <v>7916.0</v>
      </c>
      <c r="L152" s="20">
        <v>7916.0</v>
      </c>
      <c r="M152" s="20">
        <v>7916.0</v>
      </c>
      <c r="N152" s="20">
        <v>7916.0</v>
      </c>
      <c r="O152" s="20">
        <v>175608.99</v>
      </c>
      <c r="P152" s="20">
        <v>31664.0</v>
      </c>
      <c r="R152" s="19">
        <v>5.0</v>
      </c>
      <c r="V152" s="19">
        <v>100017.0</v>
      </c>
      <c r="W152" s="19">
        <v>100128578.0</v>
      </c>
      <c r="X152" s="18" t="s">
        <v>303</v>
      </c>
      <c r="Y152" s="18" t="s">
        <v>303</v>
      </c>
      <c r="Z152" s="18" t="s">
        <v>304</v>
      </c>
      <c r="AA152" s="18" t="s">
        <v>307</v>
      </c>
      <c r="AB152" s="19">
        <v>9270.0</v>
      </c>
      <c r="AC152" s="19">
        <v>1.0</v>
      </c>
      <c r="AD152" s="19">
        <v>6542.0</v>
      </c>
      <c r="AE152" s="19">
        <v>9.0</v>
      </c>
      <c r="AF152" s="18" t="s">
        <v>305</v>
      </c>
      <c r="AG152" s="19">
        <v>5.0</v>
      </c>
      <c r="AH152" s="19">
        <v>-1.0</v>
      </c>
      <c r="AI152" s="19">
        <v>2225.0</v>
      </c>
      <c r="AJ152" s="19">
        <v>6.0</v>
      </c>
      <c r="AK152" s="19">
        <v>0.0</v>
      </c>
      <c r="AL152" s="19">
        <v>0.0</v>
      </c>
      <c r="AM152" s="19">
        <v>0.0</v>
      </c>
      <c r="AN152" s="19">
        <v>0.0</v>
      </c>
      <c r="AO152" s="19">
        <v>0.0</v>
      </c>
      <c r="AP152" s="19">
        <v>0.0</v>
      </c>
      <c r="AQ152" s="19">
        <v>7916.0</v>
      </c>
      <c r="AR152" s="19">
        <v>1.0</v>
      </c>
      <c r="AS152" s="19">
        <v>0.0</v>
      </c>
      <c r="AT152" s="19">
        <f>IF(5 = R152, C152 * -1, C152)</f>
        <v>-0</v>
      </c>
      <c r="AU152" s="19">
        <f>IF(5 = R152, D152 * -1, D152)</f>
        <v>-0</v>
      </c>
      <c r="AV152" s="19">
        <f>IF(5 = R152, E152 * -1, E152)</f>
        <v>-0</v>
      </c>
      <c r="AW152" s="19">
        <f>IF(5 = R152, F152 * -1, F152)</f>
        <v>-0</v>
      </c>
      <c r="AX152" s="19">
        <f>IF(5 = R152, G152 * -1, G152)</f>
        <v>-0</v>
      </c>
      <c r="AY152" s="19">
        <f>IF(5 = R152, H152 * -1, H152)</f>
        <v>-0</v>
      </c>
      <c r="AZ152" s="19">
        <f>IF(5 = R152, I152 * -1, I152)</f>
        <v>-0</v>
      </c>
      <c r="BA152" s="19">
        <f>IF(5 = R152, J152 * -1, J152)</f>
        <v>-143944.99</v>
      </c>
      <c r="BB152" s="19">
        <v>-7916.0</v>
      </c>
      <c r="BC152" s="19">
        <f>IF(5 = R152, K152 * -1, K152)</f>
        <v>-7916</v>
      </c>
      <c r="BD152" s="19">
        <v>-7916.0</v>
      </c>
      <c r="BE152" s="19">
        <f>IF(5 = R152, L152 * -1, L152)</f>
        <v>-7916</v>
      </c>
      <c r="BF152" s="19">
        <f>IF(5 = R152, M152 * -1, M152)</f>
        <v>-7916</v>
      </c>
      <c r="BG152" s="19">
        <f>IF(5 = R152, N152 * -1, N152)</f>
        <v>-7916</v>
      </c>
      <c r="BH152" s="19">
        <f>IF(5 = R152, O152 * -1, O152)</f>
        <v>-175608.99</v>
      </c>
      <c r="BI152" s="19">
        <f>IF(5 = R152, P152 * -1, P152)</f>
        <v>-31664</v>
      </c>
    </row>
    <row r="153" spans="1:90">
      <c r="A153" s="14" t="s">
        <v>308</v>
      </c>
      <c r="B153" s="18" t="s">
        <v>309</v>
      </c>
      <c r="C153" s="20">
        <v>0.0</v>
      </c>
      <c r="D153" s="20">
        <v>0.0</v>
      </c>
      <c r="E153" s="20">
        <v>0.0</v>
      </c>
      <c r="F153" s="20">
        <v>0.0</v>
      </c>
      <c r="G153" s="20">
        <v>0.0</v>
      </c>
      <c r="H153" s="20">
        <v>0.0</v>
      </c>
      <c r="I153" s="20">
        <v>0.0</v>
      </c>
      <c r="J153" s="20">
        <v>0.0</v>
      </c>
      <c r="K153" s="20">
        <v>0.0</v>
      </c>
      <c r="L153" s="20">
        <v>0.0</v>
      </c>
      <c r="M153" s="20">
        <v>43.41</v>
      </c>
      <c r="N153" s="20">
        <v>0.0</v>
      </c>
      <c r="O153" s="20">
        <v>43.41</v>
      </c>
      <c r="P153" s="20">
        <v>43.41</v>
      </c>
      <c r="R153" s="19">
        <v>5.0</v>
      </c>
      <c r="V153" s="19">
        <v>100017.0</v>
      </c>
      <c r="W153" s="19">
        <v>100128578.0</v>
      </c>
      <c r="X153" s="18" t="s">
        <v>303</v>
      </c>
      <c r="Y153" s="18" t="s">
        <v>303</v>
      </c>
      <c r="Z153" s="18" t="s">
        <v>304</v>
      </c>
      <c r="AA153" s="18" t="s">
        <v>309</v>
      </c>
      <c r="AB153" s="19">
        <v>9270.1</v>
      </c>
      <c r="AC153" s="19">
        <v>1.0</v>
      </c>
      <c r="AD153" s="19">
        <v>6543.0</v>
      </c>
      <c r="AE153" s="19">
        <v>10.0</v>
      </c>
      <c r="AF153" s="18" t="s">
        <v>305</v>
      </c>
      <c r="AG153" s="19">
        <v>5.0</v>
      </c>
      <c r="AH153" s="19">
        <v>-1.0</v>
      </c>
      <c r="AI153" s="19">
        <v>2225.0</v>
      </c>
      <c r="AJ153" s="19">
        <v>1.0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f>IF(5 = R153, C153 * -1, C153)</f>
        <v>-0</v>
      </c>
      <c r="AU153" s="19">
        <f>IF(5 = R153, D153 * -1, D153)</f>
        <v>-0</v>
      </c>
      <c r="AV153" s="19">
        <f>IF(5 = R153, E153 * -1, E153)</f>
        <v>-0</v>
      </c>
      <c r="AW153" s="19">
        <f>IF(5 = R153, F153 * -1, F153)</f>
        <v>-0</v>
      </c>
      <c r="AX153" s="19">
        <f>IF(5 = R153, G153 * -1, G153)</f>
        <v>-0</v>
      </c>
      <c r="AY153" s="19">
        <f>IF(5 = R153, H153 * -1, H153)</f>
        <v>-0</v>
      </c>
      <c r="AZ153" s="19">
        <f>IF(5 = R153, I153 * -1, I153)</f>
        <v>-0</v>
      </c>
      <c r="BA153" s="19">
        <f>IF(5 = R153, J153 * -1, J153)</f>
        <v>-0</v>
      </c>
      <c r="BB153" s="19">
        <v>0.0</v>
      </c>
      <c r="BC153" s="19">
        <f>IF(5 = R153, K153 * -1, K153)</f>
        <v>-0</v>
      </c>
      <c r="BD153" s="19">
        <v>0.0</v>
      </c>
      <c r="BE153" s="19">
        <f>IF(5 = R153, L153 * -1, L153)</f>
        <v>-0</v>
      </c>
      <c r="BF153" s="19">
        <f>IF(5 = R153, M153 * -1, M153)</f>
        <v>-43.41</v>
      </c>
      <c r="BG153" s="19">
        <f>IF(5 = R153, N153 * -1, N153)</f>
        <v>-0</v>
      </c>
      <c r="BH153" s="19">
        <f>IF(5 = R153, O153 * -1, O153)</f>
        <v>-43.41</v>
      </c>
      <c r="BI153" s="19">
        <f>IF(5 = R153, P153 * -1, P153)</f>
        <v>-43.41</v>
      </c>
    </row>
    <row r="154" spans="1:90">
      <c r="A154" s="14" t="s">
        <v>310</v>
      </c>
      <c r="B154" s="18" t="s">
        <v>311</v>
      </c>
      <c r="C154" s="20">
        <v>0.0</v>
      </c>
      <c r="D154" s="20">
        <v>0.0</v>
      </c>
      <c r="E154" s="20">
        <v>0.0</v>
      </c>
      <c r="F154" s="20">
        <v>0.0</v>
      </c>
      <c r="G154" s="20">
        <v>0.0</v>
      </c>
      <c r="H154" s="20">
        <v>0.0</v>
      </c>
      <c r="I154" s="20">
        <v>0.0</v>
      </c>
      <c r="J154" s="20">
        <v>58449.51</v>
      </c>
      <c r="K154" s="20">
        <v>460.67</v>
      </c>
      <c r="L154" s="20">
        <v>0.0</v>
      </c>
      <c r="M154" s="20">
        <v>1175.0</v>
      </c>
      <c r="N154" s="20">
        <v>3349.91</v>
      </c>
      <c r="O154" s="20">
        <v>63435.09</v>
      </c>
      <c r="P154" s="20">
        <v>4985.58</v>
      </c>
      <c r="R154" s="19">
        <v>5.0</v>
      </c>
      <c r="V154" s="19">
        <v>100017.0</v>
      </c>
      <c r="W154" s="19">
        <v>100128578.0</v>
      </c>
      <c r="X154" s="18" t="s">
        <v>303</v>
      </c>
      <c r="Y154" s="18" t="s">
        <v>303</v>
      </c>
      <c r="Z154" s="18" t="s">
        <v>304</v>
      </c>
      <c r="AA154" s="18" t="s">
        <v>311</v>
      </c>
      <c r="AB154" s="19">
        <v>9310.1</v>
      </c>
      <c r="AC154" s="19">
        <v>1.0</v>
      </c>
      <c r="AD154" s="19">
        <v>6546.0</v>
      </c>
      <c r="AE154" s="19">
        <v>14.0</v>
      </c>
      <c r="AF154" s="18" t="s">
        <v>305</v>
      </c>
      <c r="AG154" s="19">
        <v>5.0</v>
      </c>
      <c r="AH154" s="19">
        <v>-1.0</v>
      </c>
      <c r="AI154" s="19">
        <v>2225.0</v>
      </c>
      <c r="AJ154" s="19">
        <v>4.0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1.0</v>
      </c>
      <c r="AS154" s="19">
        <v>0.0</v>
      </c>
      <c r="AT154" s="19">
        <f>IF(5 = R154, C154 * -1, C154)</f>
        <v>-0</v>
      </c>
      <c r="AU154" s="19">
        <f>IF(5 = R154, D154 * -1, D154)</f>
        <v>-0</v>
      </c>
      <c r="AV154" s="19">
        <f>IF(5 = R154, E154 * -1, E154)</f>
        <v>-0</v>
      </c>
      <c r="AW154" s="19">
        <f>IF(5 = R154, F154 * -1, F154)</f>
        <v>-0</v>
      </c>
      <c r="AX154" s="19">
        <f>IF(5 = R154, G154 * -1, G154)</f>
        <v>-0</v>
      </c>
      <c r="AY154" s="19">
        <f>IF(5 = R154, H154 * -1, H154)</f>
        <v>-0</v>
      </c>
      <c r="AZ154" s="19">
        <f>IF(5 = R154, I154 * -1, I154)</f>
        <v>-0</v>
      </c>
      <c r="BA154" s="19">
        <f>IF(5 = R154, J154 * -1, J154)</f>
        <v>-58449.51</v>
      </c>
      <c r="BB154" s="19">
        <v>-460.67</v>
      </c>
      <c r="BC154" s="19">
        <f>IF(5 = R154, K154 * -1, K154)</f>
        <v>-460.67</v>
      </c>
      <c r="BD154" s="19">
        <v>0.0</v>
      </c>
      <c r="BE154" s="19">
        <f>IF(5 = R154, L154 * -1, L154)</f>
        <v>-0</v>
      </c>
      <c r="BF154" s="19">
        <f>IF(5 = R154, M154 * -1, M154)</f>
        <v>-1175</v>
      </c>
      <c r="BG154" s="19">
        <f>IF(5 = R154, N154 * -1, N154)</f>
        <v>-3349.91</v>
      </c>
      <c r="BH154" s="19">
        <f>IF(5 = R154, O154 * -1, O154)</f>
        <v>-63435.09</v>
      </c>
      <c r="BI154" s="19">
        <f>IF(5 = R154, P154 * -1, P154)</f>
        <v>-4985.58</v>
      </c>
    </row>
    <row r="155" spans="1:90">
      <c r="A155" s="14" t="s">
        <v>312</v>
      </c>
      <c r="B155" s="18" t="s">
        <v>313</v>
      </c>
      <c r="C155" s="20">
        <v>0.0</v>
      </c>
      <c r="D155" s="20">
        <v>0.0</v>
      </c>
      <c r="E155" s="20">
        <v>0.0</v>
      </c>
      <c r="F155" s="20">
        <v>0.0</v>
      </c>
      <c r="G155" s="20">
        <v>0.0</v>
      </c>
      <c r="H155" s="20">
        <v>0.0</v>
      </c>
      <c r="I155" s="20">
        <v>0.0</v>
      </c>
      <c r="J155" s="20">
        <v>2388.75</v>
      </c>
      <c r="K155" s="20">
        <v>2873.75</v>
      </c>
      <c r="L155" s="20">
        <v>0.0</v>
      </c>
      <c r="M155" s="20">
        <v>3159.19</v>
      </c>
      <c r="N155" s="20">
        <v>1247.5</v>
      </c>
      <c r="O155" s="20">
        <v>9669.19</v>
      </c>
      <c r="P155" s="20">
        <v>7280.44</v>
      </c>
      <c r="R155" s="19">
        <v>5.0</v>
      </c>
      <c r="V155" s="19">
        <v>100017.0</v>
      </c>
      <c r="W155" s="19">
        <v>100128578.0</v>
      </c>
      <c r="X155" s="18" t="s">
        <v>303</v>
      </c>
      <c r="Y155" s="18" t="s">
        <v>303</v>
      </c>
      <c r="Z155" s="18" t="s">
        <v>304</v>
      </c>
      <c r="AA155" s="18" t="s">
        <v>313</v>
      </c>
      <c r="AB155" s="19">
        <v>9310.4</v>
      </c>
      <c r="AC155" s="19">
        <v>1.0</v>
      </c>
      <c r="AD155" s="19">
        <v>6549.0</v>
      </c>
      <c r="AE155" s="19">
        <v>17.0</v>
      </c>
      <c r="AF155" s="18" t="s">
        <v>305</v>
      </c>
      <c r="AG155" s="19">
        <v>5.0</v>
      </c>
      <c r="AH155" s="19">
        <v>-1.0</v>
      </c>
      <c r="AI155" s="19">
        <v>2225.0</v>
      </c>
      <c r="AJ155" s="19">
        <v>4.0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1.0</v>
      </c>
      <c r="AS155" s="19">
        <v>0.0</v>
      </c>
      <c r="AT155" s="19">
        <f>IF(5 = R155, C155 * -1, C155)</f>
        <v>-0</v>
      </c>
      <c r="AU155" s="19">
        <f>IF(5 = R155, D155 * -1, D155)</f>
        <v>-0</v>
      </c>
      <c r="AV155" s="19">
        <f>IF(5 = R155, E155 * -1, E155)</f>
        <v>-0</v>
      </c>
      <c r="AW155" s="19">
        <f>IF(5 = R155, F155 * -1, F155)</f>
        <v>-0</v>
      </c>
      <c r="AX155" s="19">
        <f>IF(5 = R155, G155 * -1, G155)</f>
        <v>-0</v>
      </c>
      <c r="AY155" s="19">
        <f>IF(5 = R155, H155 * -1, H155)</f>
        <v>-0</v>
      </c>
      <c r="AZ155" s="19">
        <f>IF(5 = R155, I155 * -1, I155)</f>
        <v>-0</v>
      </c>
      <c r="BA155" s="19">
        <f>IF(5 = R155, J155 * -1, J155)</f>
        <v>-2388.75</v>
      </c>
      <c r="BB155" s="19">
        <v>-2873.75</v>
      </c>
      <c r="BC155" s="19">
        <f>IF(5 = R155, K155 * -1, K155)</f>
        <v>-2873.75</v>
      </c>
      <c r="BD155" s="19">
        <v>0.0</v>
      </c>
      <c r="BE155" s="19">
        <f>IF(5 = R155, L155 * -1, L155)</f>
        <v>-0</v>
      </c>
      <c r="BF155" s="19">
        <f>IF(5 = R155, M155 * -1, M155)</f>
        <v>-3159.19</v>
      </c>
      <c r="BG155" s="19">
        <f>IF(5 = R155, N155 * -1, N155)</f>
        <v>-1247.5</v>
      </c>
      <c r="BH155" s="19">
        <f>IF(5 = R155, O155 * -1, O155)</f>
        <v>-9669.19</v>
      </c>
      <c r="BI155" s="19">
        <f>IF(5 = R155, P155 * -1, P155)</f>
        <v>-7280.44</v>
      </c>
    </row>
    <row r="156" spans="1:90">
      <c r="A156" s="14" t="s">
        <v>314</v>
      </c>
      <c r="B156" s="18" t="s">
        <v>315</v>
      </c>
      <c r="C156" s="20">
        <v>0.0</v>
      </c>
      <c r="D156" s="20">
        <v>0.0</v>
      </c>
      <c r="E156" s="20">
        <v>0.0</v>
      </c>
      <c r="F156" s="20">
        <v>0.0</v>
      </c>
      <c r="G156" s="20">
        <v>0.0</v>
      </c>
      <c r="H156" s="20">
        <v>0.0</v>
      </c>
      <c r="I156" s="20">
        <v>4771.2</v>
      </c>
      <c r="J156" s="20">
        <v>87963.11</v>
      </c>
      <c r="K156" s="20">
        <v>574.6</v>
      </c>
      <c r="L156" s="20">
        <v>0.0</v>
      </c>
      <c r="M156" s="20">
        <v>0.0</v>
      </c>
      <c r="N156" s="20">
        <v>0.0</v>
      </c>
      <c r="O156" s="20">
        <v>93308.91</v>
      </c>
      <c r="P156" s="20">
        <v>574.6</v>
      </c>
      <c r="R156" s="19">
        <v>5.0</v>
      </c>
      <c r="V156" s="19">
        <v>100017.0</v>
      </c>
      <c r="W156" s="19">
        <v>100128578.0</v>
      </c>
      <c r="X156" s="18" t="s">
        <v>303</v>
      </c>
      <c r="Y156" s="18" t="s">
        <v>303</v>
      </c>
      <c r="Z156" s="18" t="s">
        <v>304</v>
      </c>
      <c r="AA156" s="18" t="s">
        <v>315</v>
      </c>
      <c r="AB156" s="19">
        <v>9310.5</v>
      </c>
      <c r="AC156" s="19">
        <v>1.0</v>
      </c>
      <c r="AD156" s="19">
        <v>6550.0</v>
      </c>
      <c r="AE156" s="19">
        <v>18.0</v>
      </c>
      <c r="AF156" s="18" t="s">
        <v>305</v>
      </c>
      <c r="AG156" s="19">
        <v>5.0</v>
      </c>
      <c r="AH156" s="19">
        <v>-1.0</v>
      </c>
      <c r="AI156" s="19">
        <v>2225.0</v>
      </c>
      <c r="AJ156" s="19">
        <v>3.0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4771.2</v>
      </c>
      <c r="AP156" s="19">
        <v>1.0</v>
      </c>
      <c r="AQ156" s="19">
        <v>0.0</v>
      </c>
      <c r="AR156" s="19">
        <v>0.0</v>
      </c>
      <c r="AS156" s="19">
        <v>0.0</v>
      </c>
      <c r="AT156" s="19">
        <f>IF(5 = R156, C156 * -1, C156)</f>
        <v>-0</v>
      </c>
      <c r="AU156" s="19">
        <f>IF(5 = R156, D156 * -1, D156)</f>
        <v>-0</v>
      </c>
      <c r="AV156" s="19">
        <f>IF(5 = R156, E156 * -1, E156)</f>
        <v>-0</v>
      </c>
      <c r="AW156" s="19">
        <f>IF(5 = R156, F156 * -1, F156)</f>
        <v>-0</v>
      </c>
      <c r="AX156" s="19">
        <f>IF(5 = R156, G156 * -1, G156)</f>
        <v>-0</v>
      </c>
      <c r="AY156" s="19">
        <f>IF(5 = R156, H156 * -1, H156)</f>
        <v>-0</v>
      </c>
      <c r="AZ156" s="19">
        <f>IF(5 = R156, I156 * -1, I156)</f>
        <v>-4771.2</v>
      </c>
      <c r="BA156" s="19">
        <f>IF(5 = R156, J156 * -1, J156)</f>
        <v>-87963.11</v>
      </c>
      <c r="BB156" s="19">
        <v>-574.6</v>
      </c>
      <c r="BC156" s="19">
        <f>IF(5 = R156, K156 * -1, K156)</f>
        <v>-574.6</v>
      </c>
      <c r="BD156" s="19">
        <v>0.0</v>
      </c>
      <c r="BE156" s="19">
        <f>IF(5 = R156, L156 * -1, L156)</f>
        <v>-0</v>
      </c>
      <c r="BF156" s="19">
        <f>IF(5 = R156, M156 * -1, M156)</f>
        <v>-0</v>
      </c>
      <c r="BG156" s="19">
        <f>IF(5 = R156, N156 * -1, N156)</f>
        <v>-0</v>
      </c>
      <c r="BH156" s="19">
        <f>IF(5 = R156, O156 * -1, O156)</f>
        <v>-93308.91</v>
      </c>
      <c r="BI156" s="19">
        <f>IF(5 = R156, P156 * -1, P156)</f>
        <v>-574.6</v>
      </c>
    </row>
    <row r="157" spans="1:90">
      <c r="A157" s="14" t="s">
        <v>316</v>
      </c>
      <c r="B157" s="18" t="s">
        <v>317</v>
      </c>
      <c r="C157" s="20">
        <v>0.0</v>
      </c>
      <c r="D157" s="20">
        <v>0.0</v>
      </c>
      <c r="E157" s="20">
        <v>0.0</v>
      </c>
      <c r="F157" s="20">
        <v>0.0</v>
      </c>
      <c r="G157" s="20">
        <v>0.0</v>
      </c>
      <c r="H157" s="20">
        <v>0.0</v>
      </c>
      <c r="I157" s="20">
        <v>0.0</v>
      </c>
      <c r="J157" s="20">
        <v>9052.5</v>
      </c>
      <c r="K157" s="20">
        <v>20140.0</v>
      </c>
      <c r="L157" s="20">
        <v>330.61</v>
      </c>
      <c r="M157" s="20">
        <v>8239.0</v>
      </c>
      <c r="N157" s="20">
        <v>0.0</v>
      </c>
      <c r="O157" s="20">
        <v>37762.11</v>
      </c>
      <c r="P157" s="20">
        <v>28709.61</v>
      </c>
      <c r="R157" s="19">
        <v>5.0</v>
      </c>
      <c r="V157" s="19">
        <v>100017.0</v>
      </c>
      <c r="W157" s="19">
        <v>100128578.0</v>
      </c>
      <c r="X157" s="18" t="s">
        <v>303</v>
      </c>
      <c r="Y157" s="18" t="s">
        <v>303</v>
      </c>
      <c r="Z157" s="18" t="s">
        <v>304</v>
      </c>
      <c r="AA157" s="18" t="s">
        <v>317</v>
      </c>
      <c r="AB157" s="19">
        <v>9310.8</v>
      </c>
      <c r="AC157" s="19">
        <v>1.0</v>
      </c>
      <c r="AD157" s="19">
        <v>6553.0</v>
      </c>
      <c r="AE157" s="19">
        <v>21.0</v>
      </c>
      <c r="AF157" s="18" t="s">
        <v>305</v>
      </c>
      <c r="AG157" s="19">
        <v>5.0</v>
      </c>
      <c r="AH157" s="19">
        <v>-1.0</v>
      </c>
      <c r="AI157" s="19">
        <v>2225.0</v>
      </c>
      <c r="AJ157" s="19">
        <v>5.0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330.61</v>
      </c>
      <c r="AR157" s="19">
        <v>0.0</v>
      </c>
      <c r="AS157" s="19">
        <v>0.0</v>
      </c>
      <c r="AT157" s="19">
        <f>IF(5 = R157, C157 * -1, C157)</f>
        <v>-0</v>
      </c>
      <c r="AU157" s="19">
        <f>IF(5 = R157, D157 * -1, D157)</f>
        <v>-0</v>
      </c>
      <c r="AV157" s="19">
        <f>IF(5 = R157, E157 * -1, E157)</f>
        <v>-0</v>
      </c>
      <c r="AW157" s="19">
        <f>IF(5 = R157, F157 * -1, F157)</f>
        <v>-0</v>
      </c>
      <c r="AX157" s="19">
        <f>IF(5 = R157, G157 * -1, G157)</f>
        <v>-0</v>
      </c>
      <c r="AY157" s="19">
        <f>IF(5 = R157, H157 * -1, H157)</f>
        <v>-0</v>
      </c>
      <c r="AZ157" s="19">
        <f>IF(5 = R157, I157 * -1, I157)</f>
        <v>-0</v>
      </c>
      <c r="BA157" s="19">
        <f>IF(5 = R157, J157 * -1, J157)</f>
        <v>-9052.5</v>
      </c>
      <c r="BB157" s="19">
        <v>-20140.0</v>
      </c>
      <c r="BC157" s="19">
        <f>IF(5 = R157, K157 * -1, K157)</f>
        <v>-20140</v>
      </c>
      <c r="BD157" s="19">
        <v>-330.61</v>
      </c>
      <c r="BE157" s="19">
        <f>IF(5 = R157, L157 * -1, L157)</f>
        <v>-330.61</v>
      </c>
      <c r="BF157" s="19">
        <f>IF(5 = R157, M157 * -1, M157)</f>
        <v>-8239</v>
      </c>
      <c r="BG157" s="19">
        <f>IF(5 = R157, N157 * -1, N157)</f>
        <v>-0</v>
      </c>
      <c r="BH157" s="19">
        <f>IF(5 = R157, O157 * -1, O157)</f>
        <v>-37762.11</v>
      </c>
      <c r="BI157" s="19">
        <f>IF(5 = R157, P157 * -1, P157)</f>
        <v>-28709.61</v>
      </c>
    </row>
    <row r="158" spans="1:90">
      <c r="A158" s="14" t="s">
        <v>318</v>
      </c>
      <c r="B158" s="18" t="s">
        <v>319</v>
      </c>
      <c r="C158" s="20">
        <v>0.0</v>
      </c>
      <c r="D158" s="20">
        <v>0.0</v>
      </c>
      <c r="E158" s="20">
        <v>0.0</v>
      </c>
      <c r="F158" s="20">
        <v>0.0</v>
      </c>
      <c r="G158" s="20">
        <v>0.0</v>
      </c>
      <c r="H158" s="20">
        <v>0.0</v>
      </c>
      <c r="I158" s="20">
        <v>0.0</v>
      </c>
      <c r="J158" s="20">
        <v>23381.46</v>
      </c>
      <c r="K158" s="20">
        <v>0.0</v>
      </c>
      <c r="L158" s="20">
        <v>3841.51</v>
      </c>
      <c r="M158" s="20">
        <v>0.0</v>
      </c>
      <c r="N158" s="20">
        <v>0.0</v>
      </c>
      <c r="O158" s="20">
        <v>27222.97</v>
      </c>
      <c r="P158" s="20">
        <v>3841.51</v>
      </c>
      <c r="R158" s="19">
        <v>5.0</v>
      </c>
      <c r="V158" s="19">
        <v>100017.0</v>
      </c>
      <c r="W158" s="19">
        <v>100128578.0</v>
      </c>
      <c r="X158" s="18" t="s">
        <v>303</v>
      </c>
      <c r="Y158" s="18" t="s">
        <v>303</v>
      </c>
      <c r="Z158" s="18" t="s">
        <v>304</v>
      </c>
      <c r="AA158" s="18" t="s">
        <v>319</v>
      </c>
      <c r="AB158" s="19">
        <v>9312.0</v>
      </c>
      <c r="AC158" s="19">
        <v>1.0</v>
      </c>
      <c r="AD158" s="19">
        <v>6554.0</v>
      </c>
      <c r="AE158" s="19">
        <v>22.0</v>
      </c>
      <c r="AF158" s="18" t="s">
        <v>305</v>
      </c>
      <c r="AG158" s="19">
        <v>5.0</v>
      </c>
      <c r="AH158" s="19">
        <v>-1.0</v>
      </c>
      <c r="AI158" s="19">
        <v>2225.0</v>
      </c>
      <c r="AJ158" s="19">
        <v>2.0</v>
      </c>
      <c r="AK158" s="19">
        <v>0.0</v>
      </c>
      <c r="AL158" s="19">
        <v>0.0</v>
      </c>
      <c r="AM158" s="19">
        <v>0.0</v>
      </c>
      <c r="AN158" s="19">
        <v>0.0</v>
      </c>
      <c r="AO158" s="19">
        <v>0.0</v>
      </c>
      <c r="AP158" s="19">
        <v>0.0</v>
      </c>
      <c r="AQ158" s="19">
        <v>3841.51</v>
      </c>
      <c r="AR158" s="19">
        <v>0.0</v>
      </c>
      <c r="AS158" s="19">
        <v>0.0</v>
      </c>
      <c r="AT158" s="19">
        <f>IF(5 = R158, C158 * -1, C158)</f>
        <v>-0</v>
      </c>
      <c r="AU158" s="19">
        <f>IF(5 = R158, D158 * -1, D158)</f>
        <v>-0</v>
      </c>
      <c r="AV158" s="19">
        <f>IF(5 = R158, E158 * -1, E158)</f>
        <v>-0</v>
      </c>
      <c r="AW158" s="19">
        <f>IF(5 = R158, F158 * -1, F158)</f>
        <v>-0</v>
      </c>
      <c r="AX158" s="19">
        <f>IF(5 = R158, G158 * -1, G158)</f>
        <v>-0</v>
      </c>
      <c r="AY158" s="19">
        <f>IF(5 = R158, H158 * -1, H158)</f>
        <v>-0</v>
      </c>
      <c r="AZ158" s="19">
        <f>IF(5 = R158, I158 * -1, I158)</f>
        <v>-0</v>
      </c>
      <c r="BA158" s="19">
        <f>IF(5 = R158, J158 * -1, J158)</f>
        <v>-23381.46</v>
      </c>
      <c r="BB158" s="19">
        <v>0.0</v>
      </c>
      <c r="BC158" s="19">
        <f>IF(5 = R158, K158 * -1, K158)</f>
        <v>-0</v>
      </c>
      <c r="BD158" s="19">
        <v>-3841.51</v>
      </c>
      <c r="BE158" s="19">
        <f>IF(5 = R158, L158 * -1, L158)</f>
        <v>-3841.51</v>
      </c>
      <c r="BF158" s="19">
        <f>IF(5 = R158, M158 * -1, M158)</f>
        <v>-0</v>
      </c>
      <c r="BG158" s="19">
        <f>IF(5 = R158, N158 * -1, N158)</f>
        <v>-0</v>
      </c>
      <c r="BH158" s="19">
        <f>IF(5 = R158, O158 * -1, O158)</f>
        <v>-27222.97</v>
      </c>
      <c r="BI158" s="19">
        <f>IF(5 = R158, P158 * -1, P158)</f>
        <v>-3841.51</v>
      </c>
    </row>
    <row r="159" spans="1:90">
      <c r="A159" s="14" t="s">
        <v>320</v>
      </c>
      <c r="B159" s="18" t="s">
        <v>321</v>
      </c>
      <c r="C159" s="20">
        <v>0.0</v>
      </c>
      <c r="D159" s="20">
        <v>0.0</v>
      </c>
      <c r="E159" s="20">
        <v>0.0</v>
      </c>
      <c r="F159" s="20">
        <v>0.0</v>
      </c>
      <c r="G159" s="20">
        <v>0.0</v>
      </c>
      <c r="H159" s="20">
        <v>0.0</v>
      </c>
      <c r="I159" s="20">
        <v>0.0</v>
      </c>
      <c r="J159" s="20">
        <v>28247.46</v>
      </c>
      <c r="K159" s="20">
        <v>0.0</v>
      </c>
      <c r="L159" s="20">
        <v>2599.86</v>
      </c>
      <c r="M159" s="20">
        <v>2434.53</v>
      </c>
      <c r="N159" s="20">
        <v>0.0</v>
      </c>
      <c r="O159" s="20">
        <v>33281.85</v>
      </c>
      <c r="P159" s="20">
        <v>5034.39</v>
      </c>
      <c r="R159" s="19">
        <v>5.0</v>
      </c>
      <c r="V159" s="19">
        <v>100017.0</v>
      </c>
      <c r="W159" s="19">
        <v>100128578.0</v>
      </c>
      <c r="X159" s="18" t="s">
        <v>303</v>
      </c>
      <c r="Y159" s="18" t="s">
        <v>303</v>
      </c>
      <c r="Z159" s="18" t="s">
        <v>304</v>
      </c>
      <c r="AA159" s="18" t="s">
        <v>321</v>
      </c>
      <c r="AB159" s="19">
        <v>9312.1</v>
      </c>
      <c r="AC159" s="19">
        <v>1.0</v>
      </c>
      <c r="AD159" s="19">
        <v>6555.0</v>
      </c>
      <c r="AE159" s="19">
        <v>23.0</v>
      </c>
      <c r="AF159" s="18" t="s">
        <v>305</v>
      </c>
      <c r="AG159" s="19">
        <v>5.0</v>
      </c>
      <c r="AH159" s="19">
        <v>-1.0</v>
      </c>
      <c r="AI159" s="19">
        <v>2225.0</v>
      </c>
      <c r="AJ159" s="19">
        <v>3.0</v>
      </c>
      <c r="AK159" s="19">
        <v>0.0</v>
      </c>
      <c r="AL159" s="19">
        <v>0.0</v>
      </c>
      <c r="AM159" s="19">
        <v>0.0</v>
      </c>
      <c r="AN159" s="19">
        <v>0.0</v>
      </c>
      <c r="AO159" s="19">
        <v>0.0</v>
      </c>
      <c r="AP159" s="19">
        <v>0.0</v>
      </c>
      <c r="AQ159" s="19">
        <v>2599.86</v>
      </c>
      <c r="AR159" s="19">
        <v>0.0</v>
      </c>
      <c r="AS159" s="19">
        <v>0.0</v>
      </c>
      <c r="AT159" s="19">
        <f>IF(5 = R159, C159 * -1, C159)</f>
        <v>-0</v>
      </c>
      <c r="AU159" s="19">
        <f>IF(5 = R159, D159 * -1, D159)</f>
        <v>-0</v>
      </c>
      <c r="AV159" s="19">
        <f>IF(5 = R159, E159 * -1, E159)</f>
        <v>-0</v>
      </c>
      <c r="AW159" s="19">
        <f>IF(5 = R159, F159 * -1, F159)</f>
        <v>-0</v>
      </c>
      <c r="AX159" s="19">
        <f>IF(5 = R159, G159 * -1, G159)</f>
        <v>-0</v>
      </c>
      <c r="AY159" s="19">
        <f>IF(5 = R159, H159 * -1, H159)</f>
        <v>-0</v>
      </c>
      <c r="AZ159" s="19">
        <f>IF(5 = R159, I159 * -1, I159)</f>
        <v>-0</v>
      </c>
      <c r="BA159" s="19">
        <f>IF(5 = R159, J159 * -1, J159)</f>
        <v>-28247.46</v>
      </c>
      <c r="BB159" s="19">
        <v>0.0</v>
      </c>
      <c r="BC159" s="19">
        <f>IF(5 = R159, K159 * -1, K159)</f>
        <v>-0</v>
      </c>
      <c r="BD159" s="19">
        <v>-2599.86</v>
      </c>
      <c r="BE159" s="19">
        <f>IF(5 = R159, L159 * -1, L159)</f>
        <v>-2599.86</v>
      </c>
      <c r="BF159" s="19">
        <f>IF(5 = R159, M159 * -1, M159)</f>
        <v>-2434.53</v>
      </c>
      <c r="BG159" s="19">
        <f>IF(5 = R159, N159 * -1, N159)</f>
        <v>-0</v>
      </c>
      <c r="BH159" s="19">
        <f>IF(5 = R159, O159 * -1, O159)</f>
        <v>-33281.85</v>
      </c>
      <c r="BI159" s="19">
        <f>IF(5 = R159, P159 * -1, P159)</f>
        <v>-5034.39</v>
      </c>
    </row>
    <row r="160" spans="1:90">
      <c r="A160" s="14" t="s">
        <v>322</v>
      </c>
      <c r="B160" s="18" t="s">
        <v>323</v>
      </c>
      <c r="C160" s="20">
        <v>0.0</v>
      </c>
      <c r="D160" s="20">
        <v>0.0</v>
      </c>
      <c r="E160" s="20">
        <v>0.0</v>
      </c>
      <c r="F160" s="20">
        <v>0.0</v>
      </c>
      <c r="G160" s="20">
        <v>0.0</v>
      </c>
      <c r="H160" s="20">
        <v>0.0</v>
      </c>
      <c r="I160" s="20">
        <v>0.0</v>
      </c>
      <c r="J160" s="20">
        <v>6155.0</v>
      </c>
      <c r="K160" s="20">
        <v>5900.0</v>
      </c>
      <c r="L160" s="20">
        <v>0.0</v>
      </c>
      <c r="M160" s="20">
        <v>0.0</v>
      </c>
      <c r="N160" s="20">
        <v>0.0</v>
      </c>
      <c r="O160" s="20">
        <v>12055.0</v>
      </c>
      <c r="P160" s="20">
        <v>5900.0</v>
      </c>
      <c r="R160" s="19">
        <v>5.0</v>
      </c>
      <c r="V160" s="19">
        <v>100017.0</v>
      </c>
      <c r="W160" s="19">
        <v>100128578.0</v>
      </c>
      <c r="X160" s="18" t="s">
        <v>303</v>
      </c>
      <c r="Y160" s="18" t="s">
        <v>303</v>
      </c>
      <c r="Z160" s="18" t="s">
        <v>304</v>
      </c>
      <c r="AA160" s="18" t="s">
        <v>323</v>
      </c>
      <c r="AB160" s="19">
        <v>9312.3</v>
      </c>
      <c r="AC160" s="19">
        <v>1.0</v>
      </c>
      <c r="AD160" s="19">
        <v>6557.0</v>
      </c>
      <c r="AE160" s="19">
        <v>25.0</v>
      </c>
      <c r="AF160" s="18" t="s">
        <v>305</v>
      </c>
      <c r="AG160" s="19">
        <v>5.0</v>
      </c>
      <c r="AH160" s="19">
        <v>-1.0</v>
      </c>
      <c r="AI160" s="19">
        <v>2225.0</v>
      </c>
      <c r="AJ160" s="19">
        <v>2.0</v>
      </c>
      <c r="AK160" s="19">
        <v>0.0</v>
      </c>
      <c r="AL160" s="19">
        <v>0.0</v>
      </c>
      <c r="AM160" s="19">
        <v>0.0</v>
      </c>
      <c r="AN160" s="19">
        <v>0.0</v>
      </c>
      <c r="AO160" s="19">
        <v>0.0</v>
      </c>
      <c r="AP160" s="19">
        <v>0.0</v>
      </c>
      <c r="AQ160" s="19">
        <v>0.0</v>
      </c>
      <c r="AR160" s="19">
        <v>0.0</v>
      </c>
      <c r="AS160" s="19">
        <v>0.0</v>
      </c>
      <c r="AT160" s="19">
        <f>IF(5 = R160, C160 * -1, C160)</f>
        <v>-0</v>
      </c>
      <c r="AU160" s="19">
        <f>IF(5 = R160, D160 * -1, D160)</f>
        <v>-0</v>
      </c>
      <c r="AV160" s="19">
        <f>IF(5 = R160, E160 * -1, E160)</f>
        <v>-0</v>
      </c>
      <c r="AW160" s="19">
        <f>IF(5 = R160, F160 * -1, F160)</f>
        <v>-0</v>
      </c>
      <c r="AX160" s="19">
        <f>IF(5 = R160, G160 * -1, G160)</f>
        <v>-0</v>
      </c>
      <c r="AY160" s="19">
        <f>IF(5 = R160, H160 * -1, H160)</f>
        <v>-0</v>
      </c>
      <c r="AZ160" s="19">
        <f>IF(5 = R160, I160 * -1, I160)</f>
        <v>-0</v>
      </c>
      <c r="BA160" s="19">
        <f>IF(5 = R160, J160 * -1, J160)</f>
        <v>-6155</v>
      </c>
      <c r="BB160" s="19">
        <v>-5900.0</v>
      </c>
      <c r="BC160" s="19">
        <f>IF(5 = R160, K160 * -1, K160)</f>
        <v>-5900</v>
      </c>
      <c r="BD160" s="19">
        <v>0.0</v>
      </c>
      <c r="BE160" s="19">
        <f>IF(5 = R160, L160 * -1, L160)</f>
        <v>-0</v>
      </c>
      <c r="BF160" s="19">
        <f>IF(5 = R160, M160 * -1, M160)</f>
        <v>-0</v>
      </c>
      <c r="BG160" s="19">
        <f>IF(5 = R160, N160 * -1, N160)</f>
        <v>-0</v>
      </c>
      <c r="BH160" s="19">
        <f>IF(5 = R160, O160 * -1, O160)</f>
        <v>-12055</v>
      </c>
      <c r="BI160" s="19">
        <f>IF(5 = R160, P160 * -1, P160)</f>
        <v>-5900</v>
      </c>
    </row>
    <row r="161" spans="1:90">
      <c r="A161" s="14" t="s">
        <v>324</v>
      </c>
      <c r="B161" s="18" t="s">
        <v>325</v>
      </c>
      <c r="C161" s="20">
        <v>0.0</v>
      </c>
      <c r="D161" s="20">
        <v>0.0</v>
      </c>
      <c r="E161" s="20">
        <v>0.0</v>
      </c>
      <c r="F161" s="20">
        <v>0.0</v>
      </c>
      <c r="G161" s="20">
        <v>0.0</v>
      </c>
      <c r="H161" s="20">
        <v>0.0</v>
      </c>
      <c r="I161" s="20">
        <v>0.0</v>
      </c>
      <c r="J161" s="20">
        <v>0.0</v>
      </c>
      <c r="K161" s="20">
        <v>0.0</v>
      </c>
      <c r="L161" s="20">
        <v>0.0</v>
      </c>
      <c r="M161" s="20">
        <v>916.0</v>
      </c>
      <c r="N161" s="20">
        <v>0.0</v>
      </c>
      <c r="O161" s="20">
        <v>916.0</v>
      </c>
      <c r="P161" s="20">
        <v>916.0</v>
      </c>
      <c r="R161" s="19">
        <v>5.0</v>
      </c>
      <c r="V161" s="19">
        <v>100017.0</v>
      </c>
      <c r="W161" s="19">
        <v>100128578.0</v>
      </c>
      <c r="X161" s="18" t="s">
        <v>303</v>
      </c>
      <c r="Y161" s="18" t="s">
        <v>303</v>
      </c>
      <c r="Z161" s="18" t="s">
        <v>304</v>
      </c>
      <c r="AA161" s="18" t="s">
        <v>325</v>
      </c>
      <c r="AB161" s="19">
        <v>9312.4</v>
      </c>
      <c r="AC161" s="19">
        <v>1.0</v>
      </c>
      <c r="AD161" s="19">
        <v>6558.0</v>
      </c>
      <c r="AE161" s="19">
        <v>26.0</v>
      </c>
      <c r="AF161" s="18" t="s">
        <v>305</v>
      </c>
      <c r="AG161" s="19">
        <v>5.0</v>
      </c>
      <c r="AH161" s="19">
        <v>-1.0</v>
      </c>
      <c r="AI161" s="19">
        <v>2225.0</v>
      </c>
      <c r="AJ161" s="19">
        <v>1.0</v>
      </c>
      <c r="AK161" s="19">
        <v>0.0</v>
      </c>
      <c r="AL161" s="19">
        <v>0.0</v>
      </c>
      <c r="AM161" s="19">
        <v>0.0</v>
      </c>
      <c r="AN161" s="19">
        <v>0.0</v>
      </c>
      <c r="AO161" s="19">
        <v>0.0</v>
      </c>
      <c r="AP161" s="19">
        <v>0.0</v>
      </c>
      <c r="AQ161" s="19">
        <v>0.0</v>
      </c>
      <c r="AR161" s="19">
        <v>0.0</v>
      </c>
      <c r="AS161" s="19">
        <v>0.0</v>
      </c>
      <c r="AT161" s="19">
        <f>IF(5 = R161, C161 * -1, C161)</f>
        <v>-0</v>
      </c>
      <c r="AU161" s="19">
        <f>IF(5 = R161, D161 * -1, D161)</f>
        <v>-0</v>
      </c>
      <c r="AV161" s="19">
        <f>IF(5 = R161, E161 * -1, E161)</f>
        <v>-0</v>
      </c>
      <c r="AW161" s="19">
        <f>IF(5 = R161, F161 * -1, F161)</f>
        <v>-0</v>
      </c>
      <c r="AX161" s="19">
        <f>IF(5 = R161, G161 * -1, G161)</f>
        <v>-0</v>
      </c>
      <c r="AY161" s="19">
        <f>IF(5 = R161, H161 * -1, H161)</f>
        <v>-0</v>
      </c>
      <c r="AZ161" s="19">
        <f>IF(5 = R161, I161 * -1, I161)</f>
        <v>-0</v>
      </c>
      <c r="BA161" s="19">
        <f>IF(5 = R161, J161 * -1, J161)</f>
        <v>-0</v>
      </c>
      <c r="BB161" s="19">
        <v>0.0</v>
      </c>
      <c r="BC161" s="19">
        <f>IF(5 = R161, K161 * -1, K161)</f>
        <v>-0</v>
      </c>
      <c r="BD161" s="19">
        <v>0.0</v>
      </c>
      <c r="BE161" s="19">
        <f>IF(5 = R161, L161 * -1, L161)</f>
        <v>-0</v>
      </c>
      <c r="BF161" s="19">
        <f>IF(5 = R161, M161 * -1, M161)</f>
        <v>-916</v>
      </c>
      <c r="BG161" s="19">
        <f>IF(5 = R161, N161 * -1, N161)</f>
        <v>-0</v>
      </c>
      <c r="BH161" s="19">
        <f>IF(5 = R161, O161 * -1, O161)</f>
        <v>-916</v>
      </c>
      <c r="BI161" s="19">
        <f>IF(5 = R161, P161 * -1, P161)</f>
        <v>-916</v>
      </c>
    </row>
    <row r="162" spans="1:90">
      <c r="A162" s="14" t="s">
        <v>326</v>
      </c>
      <c r="B162" s="18" t="s">
        <v>327</v>
      </c>
      <c r="C162" s="20">
        <v>0.0</v>
      </c>
      <c r="D162" s="20">
        <v>0.0</v>
      </c>
      <c r="E162" s="20">
        <v>0.0</v>
      </c>
      <c r="F162" s="20">
        <v>0.0</v>
      </c>
      <c r="G162" s="20">
        <v>0.0</v>
      </c>
      <c r="H162" s="20">
        <v>0.0</v>
      </c>
      <c r="I162" s="20">
        <v>0.0</v>
      </c>
      <c r="J162" s="20">
        <v>0.0</v>
      </c>
      <c r="K162" s="20">
        <v>0.0</v>
      </c>
      <c r="L162" s="20">
        <v>0.0</v>
      </c>
      <c r="M162" s="20">
        <v>6936.12</v>
      </c>
      <c r="N162" s="20">
        <v>0.0</v>
      </c>
      <c r="O162" s="20">
        <v>6936.12</v>
      </c>
      <c r="P162" s="20">
        <v>6936.12</v>
      </c>
      <c r="R162" s="19">
        <v>5.0</v>
      </c>
      <c r="V162" s="19">
        <v>100017.0</v>
      </c>
      <c r="W162" s="19">
        <v>100128578.0</v>
      </c>
      <c r="X162" s="18" t="s">
        <v>303</v>
      </c>
      <c r="Y162" s="18" t="s">
        <v>303</v>
      </c>
      <c r="Z162" s="18" t="s">
        <v>304</v>
      </c>
      <c r="AA162" s="18" t="s">
        <v>327</v>
      </c>
      <c r="AB162" s="19">
        <v>9312.6</v>
      </c>
      <c r="AC162" s="19">
        <v>1.0</v>
      </c>
      <c r="AD162" s="19">
        <v>6560.0</v>
      </c>
      <c r="AE162" s="19">
        <v>28.0</v>
      </c>
      <c r="AF162" s="18" t="s">
        <v>305</v>
      </c>
      <c r="AG162" s="19">
        <v>5.0</v>
      </c>
      <c r="AH162" s="19">
        <v>-1.0</v>
      </c>
      <c r="AI162" s="19">
        <v>2225.0</v>
      </c>
      <c r="AJ162" s="19">
        <v>1.0</v>
      </c>
      <c r="AK162" s="19">
        <v>0.0</v>
      </c>
      <c r="AL162" s="19">
        <v>0.0</v>
      </c>
      <c r="AM162" s="19">
        <v>0.0</v>
      </c>
      <c r="AN162" s="19">
        <v>0.0</v>
      </c>
      <c r="AO162" s="19">
        <v>0.0</v>
      </c>
      <c r="AP162" s="19">
        <v>0.0</v>
      </c>
      <c r="AQ162" s="19">
        <v>0.0</v>
      </c>
      <c r="AR162" s="19">
        <v>0.0</v>
      </c>
      <c r="AS162" s="19">
        <v>0.0</v>
      </c>
      <c r="AT162" s="19">
        <f>IF(5 = R162, C162 * -1, C162)</f>
        <v>-0</v>
      </c>
      <c r="AU162" s="19">
        <f>IF(5 = R162, D162 * -1, D162)</f>
        <v>-0</v>
      </c>
      <c r="AV162" s="19">
        <f>IF(5 = R162, E162 * -1, E162)</f>
        <v>-0</v>
      </c>
      <c r="AW162" s="19">
        <f>IF(5 = R162, F162 * -1, F162)</f>
        <v>-0</v>
      </c>
      <c r="AX162" s="19">
        <f>IF(5 = R162, G162 * -1, G162)</f>
        <v>-0</v>
      </c>
      <c r="AY162" s="19">
        <f>IF(5 = R162, H162 * -1, H162)</f>
        <v>-0</v>
      </c>
      <c r="AZ162" s="19">
        <f>IF(5 = R162, I162 * -1, I162)</f>
        <v>-0</v>
      </c>
      <c r="BA162" s="19">
        <f>IF(5 = R162, J162 * -1, J162)</f>
        <v>-0</v>
      </c>
      <c r="BB162" s="19">
        <v>0.0</v>
      </c>
      <c r="BC162" s="19">
        <f>IF(5 = R162, K162 * -1, K162)</f>
        <v>-0</v>
      </c>
      <c r="BD162" s="19">
        <v>0.0</v>
      </c>
      <c r="BE162" s="19">
        <f>IF(5 = R162, L162 * -1, L162)</f>
        <v>-0</v>
      </c>
      <c r="BF162" s="19">
        <f>IF(5 = R162, M162 * -1, M162)</f>
        <v>-6936.12</v>
      </c>
      <c r="BG162" s="19">
        <f>IF(5 = R162, N162 * -1, N162)</f>
        <v>-0</v>
      </c>
      <c r="BH162" s="19">
        <f>IF(5 = R162, O162 * -1, O162)</f>
        <v>-6936.12</v>
      </c>
      <c r="BI162" s="19">
        <f>IF(5 = R162, P162 * -1, P162)</f>
        <v>-6936.12</v>
      </c>
    </row>
    <row r="163" spans="1:90">
      <c r="A163" s="14" t="s">
        <v>328</v>
      </c>
      <c r="B163" s="18" t="s">
        <v>329</v>
      </c>
      <c r="C163" s="20">
        <v>0.0</v>
      </c>
      <c r="D163" s="20">
        <v>0.0</v>
      </c>
      <c r="E163" s="20">
        <v>0.0</v>
      </c>
      <c r="F163" s="20">
        <v>0.0</v>
      </c>
      <c r="G163" s="20">
        <v>0.0</v>
      </c>
      <c r="H163" s="20">
        <v>0.0</v>
      </c>
      <c r="I163" s="20">
        <v>0.0</v>
      </c>
      <c r="J163" s="20">
        <v>1250.0</v>
      </c>
      <c r="K163" s="20">
        <v>0.0</v>
      </c>
      <c r="L163" s="20">
        <v>0.0</v>
      </c>
      <c r="M163" s="20">
        <v>0.0</v>
      </c>
      <c r="N163" s="20">
        <v>0.0</v>
      </c>
      <c r="O163" s="20">
        <v>1250.0</v>
      </c>
      <c r="P163" s="20">
        <v>0.0</v>
      </c>
      <c r="R163" s="19">
        <v>5.0</v>
      </c>
      <c r="V163" s="19">
        <v>100017.0</v>
      </c>
      <c r="W163" s="19">
        <v>100128578.0</v>
      </c>
      <c r="X163" s="18" t="s">
        <v>303</v>
      </c>
      <c r="Y163" s="18" t="s">
        <v>303</v>
      </c>
      <c r="Z163" s="18" t="s">
        <v>304</v>
      </c>
      <c r="AA163" s="18" t="s">
        <v>329</v>
      </c>
      <c r="AB163" s="19">
        <v>9312.7</v>
      </c>
      <c r="AC163" s="19">
        <v>1.0</v>
      </c>
      <c r="AD163" s="19">
        <v>6561.0</v>
      </c>
      <c r="AE163" s="19">
        <v>29.0</v>
      </c>
      <c r="AF163" s="18" t="s">
        <v>305</v>
      </c>
      <c r="AG163" s="19">
        <v>5.0</v>
      </c>
      <c r="AH163" s="19">
        <v>-1.0</v>
      </c>
      <c r="AI163" s="19">
        <v>2225.0</v>
      </c>
      <c r="AJ163" s="19">
        <v>1.0</v>
      </c>
      <c r="AK163" s="19">
        <v>0.0</v>
      </c>
      <c r="AL163" s="19">
        <v>0.0</v>
      </c>
      <c r="AM163" s="19">
        <v>0.0</v>
      </c>
      <c r="AN163" s="19">
        <v>0.0</v>
      </c>
      <c r="AO163" s="19">
        <v>0.0</v>
      </c>
      <c r="AP163" s="19">
        <v>0.0</v>
      </c>
      <c r="AQ163" s="19">
        <v>0.0</v>
      </c>
      <c r="AR163" s="19">
        <v>0.0</v>
      </c>
      <c r="AS163" s="19">
        <v>0.0</v>
      </c>
      <c r="AT163" s="19">
        <f>IF(5 = R163, C163 * -1, C163)</f>
        <v>-0</v>
      </c>
      <c r="AU163" s="19">
        <f>IF(5 = R163, D163 * -1, D163)</f>
        <v>-0</v>
      </c>
      <c r="AV163" s="19">
        <f>IF(5 = R163, E163 * -1, E163)</f>
        <v>-0</v>
      </c>
      <c r="AW163" s="19">
        <f>IF(5 = R163, F163 * -1, F163)</f>
        <v>-0</v>
      </c>
      <c r="AX163" s="19">
        <f>IF(5 = R163, G163 * -1, G163)</f>
        <v>-0</v>
      </c>
      <c r="AY163" s="19">
        <f>IF(5 = R163, H163 * -1, H163)</f>
        <v>-0</v>
      </c>
      <c r="AZ163" s="19">
        <f>IF(5 = R163, I163 * -1, I163)</f>
        <v>-0</v>
      </c>
      <c r="BA163" s="19">
        <f>IF(5 = R163, J163 * -1, J163)</f>
        <v>-1250</v>
      </c>
      <c r="BB163" s="19">
        <v>0.0</v>
      </c>
      <c r="BC163" s="19">
        <f>IF(5 = R163, K163 * -1, K163)</f>
        <v>-0</v>
      </c>
      <c r="BD163" s="19">
        <v>0.0</v>
      </c>
      <c r="BE163" s="19">
        <f>IF(5 = R163, L163 * -1, L163)</f>
        <v>-0</v>
      </c>
      <c r="BF163" s="19">
        <f>IF(5 = R163, M163 * -1, M163)</f>
        <v>-0</v>
      </c>
      <c r="BG163" s="19">
        <f>IF(5 = R163, N163 * -1, N163)</f>
        <v>-0</v>
      </c>
      <c r="BH163" s="19">
        <f>IF(5 = R163, O163 * -1, O163)</f>
        <v>-1250</v>
      </c>
      <c r="BI163" s="19">
        <f>IF(5 = R163, P163 * -1, P163)</f>
        <v>-0</v>
      </c>
    </row>
    <row r="164" spans="1:90">
      <c r="B164" s="10" t="s">
        <v>300</v>
      </c>
      <c r="C164" s="12">
        <f>IF(5 = R164, AT164 * -1, AT164)</f>
        <v>-0</v>
      </c>
      <c r="D164" s="12">
        <f>IF(5 = R164, AU164 * -1, AU164)</f>
        <v>-0</v>
      </c>
      <c r="E164" s="12">
        <f>IF(5 = R164, AV164 * -1, AV164)</f>
        <v>-0</v>
      </c>
      <c r="F164" s="12">
        <f>IF(5 = R164, AW164 * -1, AW164)</f>
        <v>-0</v>
      </c>
      <c r="G164" s="12">
        <f>IF(5 = R164, AX164 * -1, AX164)</f>
        <v>-0</v>
      </c>
      <c r="H164" s="12">
        <f>IF(5 = R164, AY164 * -1, AY164)</f>
        <v>-0</v>
      </c>
      <c r="I164" s="12">
        <f>IF(5 = R164, AZ164 * -1, AZ164)</f>
        <v>11715.6</v>
      </c>
      <c r="J164" s="12">
        <f>IF(5 = R164, BA164 * -1, BA164)</f>
        <v>561400.02</v>
      </c>
      <c r="K164" s="12">
        <f>IF(5 = R164, BC164 * -1, BC164)</f>
        <v>58698.35</v>
      </c>
      <c r="L164" s="12">
        <f>IF(5 = R164, BE164 * -1, BE164)</f>
        <v>35521.31</v>
      </c>
      <c r="M164" s="12">
        <f>IF(5 = R164, BF164 * -1, BF164)</f>
        <v>51652.58</v>
      </c>
      <c r="N164" s="12">
        <f>IF(5 = R164, BG164 * -1, BG164)</f>
        <v>33346.74</v>
      </c>
      <c r="O164" s="12">
        <f>IF(5 = R164, BH164 * -1, BH164)</f>
        <v>752334.6</v>
      </c>
      <c r="P164" s="12">
        <f>IF(5 = R164, BI164 * -1, BI164)</f>
        <v>179218.98</v>
      </c>
      <c r="R164" s="11">
        <v>5</v>
      </c>
      <c r="S164" s="13">
        <f>S163</f>
        <v>0</v>
      </c>
      <c r="T164" s="13">
        <f>T163</f>
        <v>0</v>
      </c>
      <c r="U164" s="11">
        <f>U163</f>
        <v>0</v>
      </c>
      <c r="AT164" s="11">
        <f>SUM(AT151:AT163)</f>
        <v>0</v>
      </c>
      <c r="AU164" s="11">
        <f>SUM(AU151:AU163)</f>
        <v>0</v>
      </c>
      <c r="AV164" s="11">
        <f>SUM(AV151:AV163)</f>
        <v>0</v>
      </c>
      <c r="AW164" s="11">
        <f>SUM(AW151:AW163)</f>
        <v>0</v>
      </c>
      <c r="AX164" s="11">
        <f>SUM(AX151:AX163)</f>
        <v>0</v>
      </c>
      <c r="AY164" s="11">
        <f>SUM(AY151:AY163)</f>
        <v>0</v>
      </c>
      <c r="AZ164" s="11">
        <f>SUM(AZ151:AZ163)</f>
        <v>-11715.6</v>
      </c>
      <c r="BA164" s="11">
        <f>SUM(BA151:BA163)</f>
        <v>-561400.02</v>
      </c>
      <c r="BC164" s="11">
        <f>SUM(BC151:BC163)</f>
        <v>-58698.35</v>
      </c>
      <c r="BE164" s="11">
        <f>SUM(BE151:BE163)</f>
        <v>-35521.31</v>
      </c>
      <c r="BF164" s="11">
        <f>SUM(BF151:BF163)</f>
        <v>-51652.58</v>
      </c>
      <c r="BG164" s="11">
        <f>SUM(BG151:BG163)</f>
        <v>-33346.74</v>
      </c>
      <c r="BH164" s="11">
        <f>SUM(BH151:BH163)</f>
        <v>-752334.6</v>
      </c>
      <c r="BI164" s="11">
        <f>SUM(BI151:BI163)</f>
        <v>-179218.98</v>
      </c>
    </row>
    <row r="166" spans="1:90">
      <c r="B166" s="10" t="s">
        <v>330</v>
      </c>
      <c r="C166" s="16">
        <f>IF(5 = R166, AT166 * -1, AT166)</f>
        <v>0</v>
      </c>
      <c r="D166" s="16">
        <f>IF(5 = R166, AU166 * -1, AU166)</f>
        <v>0</v>
      </c>
      <c r="E166" s="16">
        <f>IF(5 = R166, AV166 * -1, AV166)</f>
        <v>0</v>
      </c>
      <c r="F166" s="16">
        <f>IF(5 = R166, AW166 * -1, AW166)</f>
        <v>0</v>
      </c>
      <c r="G166" s="16">
        <f>IF(5 = R166, AX166 * -1, AX166)</f>
        <v>0</v>
      </c>
      <c r="H166" s="16">
        <f>IF(5 = R166, AY166 * -1, AY166)</f>
        <v>0</v>
      </c>
      <c r="I166" s="16">
        <f>IF(5 = R166, AZ166 * -1, AZ166)</f>
        <v>-124712.35</v>
      </c>
      <c r="J166" s="16">
        <f>IF(5 = R166, BA166 * -1, BA166)</f>
        <v>-421295.82</v>
      </c>
      <c r="K166" s="16">
        <f>IF(5 = R166, BC166 * -1, BC166)</f>
        <v>-20561.66</v>
      </c>
      <c r="L166" s="16">
        <f>IF(5 = R166, BE166 * -1, BE166)</f>
        <v>14143.75</v>
      </c>
      <c r="M166" s="16">
        <f>IF(5 = R166, BF166 * -1, BF166)</f>
        <v>-3052.78</v>
      </c>
      <c r="N166" s="16">
        <f>IF(5 = R166, BG166 * -1, BG166)</f>
        <v>16411.26</v>
      </c>
      <c r="O166" s="16">
        <f>IF(5 = R166, BH166 * -1, BH166)</f>
        <v>-539067.6</v>
      </c>
      <c r="P166" s="16">
        <f>IF(5 = R166, BI166 * -1, BI166)</f>
        <v>6940.57</v>
      </c>
      <c r="R166" s="15">
        <v>4</v>
      </c>
      <c r="S166" s="17">
        <f>S163</f>
        <v>0</v>
      </c>
      <c r="T166" s="17">
        <f>T163</f>
        <v>0</v>
      </c>
      <c r="U166" s="15">
        <f>U163</f>
        <v>0</v>
      </c>
      <c r="AT166" s="15">
        <f>SUM(AT10:AT20)+SUM(AT24:AT28)+SUM(AT32:AT42)+SUM(AT49:AT57)+SUM(AT61:AT65)+SUM(AT69:AT81)+SUM(AT85:AT90)+SUM(AT94:AT103)+SUM(AT107:AT110)+SUM(AT114:AT117)+SUM(AT121:AT122)+SUM(AT126:AT139)+SUM(AT147:AT147)+SUM(AT151:AT163)</f>
        <v>0</v>
      </c>
      <c r="AU166" s="15">
        <f>SUM(AU10:AU20)+SUM(AU24:AU28)+SUM(AU32:AU42)+SUM(AU49:AU57)+SUM(AU61:AU65)+SUM(AU69:AU81)+SUM(AU85:AU90)+SUM(AU94:AU103)+SUM(AU107:AU110)+SUM(AU114:AU117)+SUM(AU121:AU122)+SUM(AU126:AU139)+SUM(AU147:AU147)+SUM(AU151:AU163)</f>
        <v>0</v>
      </c>
      <c r="AV166" s="15">
        <f>SUM(AV10:AV20)+SUM(AV24:AV28)+SUM(AV32:AV42)+SUM(AV49:AV57)+SUM(AV61:AV65)+SUM(AV69:AV81)+SUM(AV85:AV90)+SUM(AV94:AV103)+SUM(AV107:AV110)+SUM(AV114:AV117)+SUM(AV121:AV122)+SUM(AV126:AV139)+SUM(AV147:AV147)+SUM(AV151:AV163)</f>
        <v>0</v>
      </c>
      <c r="AW166" s="15">
        <f>SUM(AW10:AW20)+SUM(AW24:AW28)+SUM(AW32:AW42)+SUM(AW49:AW57)+SUM(AW61:AW65)+SUM(AW69:AW81)+SUM(AW85:AW90)+SUM(AW94:AW103)+SUM(AW107:AW110)+SUM(AW114:AW117)+SUM(AW121:AW122)+SUM(AW126:AW139)+SUM(AW147:AW147)+SUM(AW151:AW163)</f>
        <v>0</v>
      </c>
      <c r="AX166" s="15">
        <f>SUM(AX10:AX20)+SUM(AX24:AX28)+SUM(AX32:AX42)+SUM(AX49:AX57)+SUM(AX61:AX65)+SUM(AX69:AX81)+SUM(AX85:AX90)+SUM(AX94:AX103)+SUM(AX107:AX110)+SUM(AX114:AX117)+SUM(AX121:AX122)+SUM(AX126:AX139)+SUM(AX147:AX147)+SUM(AX151:AX163)</f>
        <v>0</v>
      </c>
      <c r="AY166" s="15">
        <f>SUM(AY10:AY20)+SUM(AY24:AY28)+SUM(AY32:AY42)+SUM(AY49:AY57)+SUM(AY61:AY65)+SUM(AY69:AY81)+SUM(AY85:AY90)+SUM(AY94:AY103)+SUM(AY107:AY110)+SUM(AY114:AY117)+SUM(AY121:AY122)+SUM(AY126:AY139)+SUM(AY147:AY147)+SUM(AY151:AY163)</f>
        <v>0</v>
      </c>
      <c r="AZ166" s="15">
        <f>SUM(AZ10:AZ20)+SUM(AZ24:AZ28)+SUM(AZ32:AZ42)+SUM(AZ49:AZ57)+SUM(AZ61:AZ65)+SUM(AZ69:AZ81)+SUM(AZ85:AZ90)+SUM(AZ94:AZ103)+SUM(AZ107:AZ110)+SUM(AZ114:AZ117)+SUM(AZ121:AZ122)+SUM(AZ126:AZ139)+SUM(AZ147:AZ147)+SUM(AZ151:AZ163)</f>
        <v>-124712.35</v>
      </c>
      <c r="BA166" s="15">
        <f>SUM(BA10:BA20)+SUM(BA24:BA28)+SUM(BA32:BA42)+SUM(BA49:BA57)+SUM(BA61:BA65)+SUM(BA69:BA81)+SUM(BA85:BA90)+SUM(BA94:BA103)+SUM(BA107:BA110)+SUM(BA114:BA117)+SUM(BA121:BA122)+SUM(BA126:BA139)+SUM(BA147:BA147)+SUM(BA151:BA163)</f>
        <v>-421295.82</v>
      </c>
      <c r="BC166" s="15">
        <f>SUM(BC10:BC20)+SUM(BC24:BC28)+SUM(BC32:BC42)+SUM(BC49:BC57)+SUM(BC61:BC65)+SUM(BC69:BC81)+SUM(BC85:BC90)+SUM(BC94:BC103)+SUM(BC107:BC110)+SUM(BC114:BC117)+SUM(BC121:BC122)+SUM(BC126:BC139)+SUM(BC147:BC147)+SUM(BC151:BC163)</f>
        <v>-20561.66</v>
      </c>
      <c r="BE166" s="15">
        <f>SUM(BE10:BE20)+SUM(BE24:BE28)+SUM(BE32:BE42)+SUM(BE49:BE57)+SUM(BE61:BE65)+SUM(BE69:BE81)+SUM(BE85:BE90)+SUM(BE94:BE103)+SUM(BE107:BE110)+SUM(BE114:BE117)+SUM(BE121:BE122)+SUM(BE126:BE139)+SUM(BE147:BE147)+SUM(BE151:BE163)</f>
        <v>14143.75</v>
      </c>
      <c r="BF166" s="15">
        <f>SUM(BF10:BF20)+SUM(BF24:BF28)+SUM(BF32:BF42)+SUM(BF49:BF57)+SUM(BF61:BF65)+SUM(BF69:BF81)+SUM(BF85:BF90)+SUM(BF94:BF103)+SUM(BF107:BF110)+SUM(BF114:BF117)+SUM(BF121:BF122)+SUM(BF126:BF139)+SUM(BF147:BF147)+SUM(BF151:BF163)</f>
        <v>-3052.78</v>
      </c>
      <c r="BG166" s="15">
        <f>SUM(BG10:BG20)+SUM(BG24:BG28)+SUM(BG32:BG42)+SUM(BG49:BG57)+SUM(BG61:BG65)+SUM(BG69:BG81)+SUM(BG85:BG90)+SUM(BG94:BG103)+SUM(BG107:BG110)+SUM(BG114:BG117)+SUM(BG121:BG122)+SUM(BG126:BG139)+SUM(BG147:BG147)+SUM(BG151:BG163)</f>
        <v>16411.26</v>
      </c>
      <c r="BH166" s="15">
        <f>SUM(BH10:BH20)+SUM(BH24:BH28)+SUM(BH32:BH42)+SUM(BH49:BH57)+SUM(BH61:BH65)+SUM(BH69:BH81)+SUM(BH85:BH90)+SUM(BH94:BH103)+SUM(BH107:BH110)+SUM(BH114:BH117)+SUM(BH121:BH122)+SUM(BH126:BH139)+SUM(BH147:BH147)+SUM(BH151:BH163)</f>
        <v>-539067.6</v>
      </c>
      <c r="BI166" s="15">
        <f>SUM(BI10:BI20)+SUM(BI24:BI28)+SUM(BI32:BI42)+SUM(BI49:BI57)+SUM(BI61:BI65)+SUM(BI69:BI81)+SUM(BI85:BI90)+SUM(BI94:BI103)+SUM(BI107:BI110)+SUM(BI114:BI117)+SUM(BI121:BI122)+SUM(BI126:BI139)+SUM(BI147:BI147)+SUM(BI151:BI163)</f>
        <v>6940.57</v>
      </c>
    </row>
  </sheetData>
  <mergeCells>
    <mergeCell ref="A2:P2"/>
    <mergeCell ref="A3:P3"/>
    <mergeCell ref="A4:P4"/>
    <mergeCell ref="A5:P5"/>
    <mergeCell ref="A8:P8"/>
    <mergeCell ref="A9:P9"/>
    <mergeCell ref="A23:P23"/>
    <mergeCell ref="A31:P31"/>
    <mergeCell ref="A47:P47"/>
    <mergeCell ref="A48:P48"/>
    <mergeCell ref="A60:P60"/>
    <mergeCell ref="A68:P68"/>
    <mergeCell ref="A84:P84"/>
    <mergeCell ref="A93:P93"/>
    <mergeCell ref="A106:P106"/>
    <mergeCell ref="A113:P113"/>
    <mergeCell ref="A120:P120"/>
    <mergeCell ref="A125:P125"/>
    <mergeCell ref="A146:P146"/>
    <mergeCell ref="A150:P150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Income Statement - Trailing 12</oddHeader>
    <oddFooter>&amp;L Page &amp;P of &amp;N &amp;R &amp;I Income Statement 4.1 generated04/30/2026 at 10:39pm PDT&amp;I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32"/>
  <sheetViews>
    <sheetView tabSelected="0" workbookViewId="0" showGridLines="true" showRowColHeaders="1">
      <selection activeCell="B32" sqref="B32"/>
    </sheetView>
  </sheetViews>
  <sheetFormatPr defaultRowHeight="14.4" outlineLevelRow="0" outlineLevelCol="0"/>
  <cols>
    <col min="1" max="1" width="20" customWidth="true" style="0"/>
    <col min="2" max="2" width="80" customWidth="true" style="0"/>
  </cols>
  <sheetData>
    <row r="1" spans="1:2">
      <c r="A1" s="21" t="s">
        <v>331</v>
      </c>
    </row>
    <row r="2" spans="1:2">
      <c r="A2" s="21" t="s">
        <v>332</v>
      </c>
    </row>
    <row r="4" spans="1:2">
      <c r="A4" s="22" t="s">
        <v>333</v>
      </c>
      <c r="B4" s="23" t="s">
        <v>331</v>
      </c>
    </row>
    <row r="5" spans="1:2">
      <c r="A5" s="22" t="s">
        <v>334</v>
      </c>
      <c r="B5" s="23">
        <v>4.1</v>
      </c>
    </row>
    <row r="6" spans="1:2">
      <c r="A6" s="22" t="s">
        <v>335</v>
      </c>
      <c r="B6" s="23" t="s">
        <v>1</v>
      </c>
    </row>
    <row r="7" spans="1:2">
      <c r="A7" s="22" t="s">
        <v>336</v>
      </c>
      <c r="B7" s="23" t="s">
        <v>337</v>
      </c>
    </row>
    <row r="8" spans="1:2">
      <c r="A8" s="22" t="s">
        <v>338</v>
      </c>
      <c r="B8" s="23" t="s">
        <v>339</v>
      </c>
    </row>
    <row r="9" spans="1:2">
      <c r="A9" s="22" t="s">
        <v>340</v>
      </c>
      <c r="B9" s="23" t="s">
        <v>341</v>
      </c>
    </row>
    <row r="10" spans="1:2">
      <c r="A10" s="22" t="s">
        <v>342</v>
      </c>
      <c r="B10" s="23" t="s">
        <v>343</v>
      </c>
    </row>
    <row r="11" spans="1:2">
      <c r="A11" s="22" t="s">
        <v>344</v>
      </c>
      <c r="B11" s="23" t="s">
        <v>345</v>
      </c>
    </row>
    <row r="12" spans="1:2">
      <c r="A12" s="22" t="s">
        <v>346</v>
      </c>
      <c r="B12" s="23">
        <v>11</v>
      </c>
    </row>
    <row r="13" spans="1:2">
      <c r="A13" s="22" t="s">
        <v>347</v>
      </c>
      <c r="B13" s="23" t="s">
        <v>348</v>
      </c>
    </row>
    <row r="14" spans="1:2">
      <c r="A14" s="22" t="s">
        <v>349</v>
      </c>
      <c r="B14" s="23" t="s">
        <v>350</v>
      </c>
    </row>
    <row r="15" spans="1:2">
      <c r="A15" s="22" t="s">
        <v>351</v>
      </c>
      <c r="B15" s="23" t="s">
        <v>352</v>
      </c>
    </row>
    <row r="16" spans="1:2">
      <c r="A16" s="22" t="s">
        <v>353</v>
      </c>
      <c r="B16" s="23" t="s">
        <v>354</v>
      </c>
    </row>
    <row r="17" spans="1:2">
      <c r="A17" s="22" t="s">
        <v>355</v>
      </c>
      <c r="B17" s="23" t="s">
        <v>356</v>
      </c>
    </row>
    <row r="18" spans="1:2">
      <c r="A18" s="22" t="s">
        <v>357</v>
      </c>
      <c r="B18" s="23" t="s">
        <v>345</v>
      </c>
    </row>
    <row r="19" spans="1:2">
      <c r="A19" s="22" t="s">
        <v>358</v>
      </c>
      <c r="B19" s="23" t="s">
        <v>359</v>
      </c>
    </row>
    <row r="20" spans="1:2">
      <c r="A20" s="22" t="s">
        <v>360</v>
      </c>
      <c r="B20" s="23" t="s">
        <v>359</v>
      </c>
    </row>
    <row r="21" spans="1:2">
      <c r="A21" s="22" t="s">
        <v>361</v>
      </c>
      <c r="B21" s="23" t="s">
        <v>359</v>
      </c>
    </row>
    <row r="22" spans="1:2">
      <c r="A22" s="22" t="s">
        <v>362</v>
      </c>
      <c r="B22" s="23" t="s">
        <v>359</v>
      </c>
    </row>
    <row r="23" spans="1:2">
      <c r="A23" s="22" t="s">
        <v>363</v>
      </c>
      <c r="B23" s="23" t="s">
        <v>350</v>
      </c>
    </row>
    <row r="24" spans="1:2">
      <c r="A24" s="22" t="s">
        <v>364</v>
      </c>
      <c r="B24" s="23" t="s">
        <v>345</v>
      </c>
    </row>
    <row r="25" spans="1:2">
      <c r="A25" s="22" t="s">
        <v>365</v>
      </c>
      <c r="B25" s="23" t="s">
        <v>345</v>
      </c>
    </row>
    <row r="26" spans="1:2">
      <c r="A26" s="22" t="s">
        <v>366</v>
      </c>
      <c r="B26" s="23" t="s">
        <v>367</v>
      </c>
    </row>
    <row r="27" spans="1:2">
      <c r="A27" s="22" t="s">
        <v>368</v>
      </c>
      <c r="B27" s="23" t="s">
        <v>359</v>
      </c>
    </row>
    <row r="28" spans="1:2">
      <c r="A28" s="22" t="s">
        <v>369</v>
      </c>
      <c r="B28" s="23" t="s">
        <v>345</v>
      </c>
    </row>
    <row r="29" spans="1:2">
      <c r="A29" s="22" t="s">
        <v>370</v>
      </c>
      <c r="B29" s="23" t="s">
        <v>371</v>
      </c>
    </row>
    <row r="31" spans="1:2">
      <c r="A31" s="22" t="s">
        <v>372</v>
      </c>
      <c r="B31" s="23" t="s">
        <v>373</v>
      </c>
    </row>
    <row r="32" spans="1:2">
      <c r="A32" s="22" t="s">
        <v>374</v>
      </c>
      <c r="B32" s="23" t="s">
        <v>373</v>
      </c>
    </row>
  </sheetData>
  <mergeCells>
    <mergeCell ref="A1:B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Report Parameters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2026-04-30T23:40:26-06:00</dcterms:created>
  <dcterms:modified xsi:type="dcterms:W3CDTF">2026-04-30T23:40:26-06:00</dcterms:modified>
  <dc:title>Untitled Spreadsheet</dc:title>
  <dc:description/>
  <dc:subject/>
  <cp:keywords/>
  <cp:category/>
</cp:coreProperties>
</file>