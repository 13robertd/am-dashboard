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e Lower Burnside Lofts" sheetId="1" r:id="rId4"/>
    <sheet name="Report Parameters" sheetId="2" r:id="rId5"/>
  </sheets>
  <definedNames>
    <definedName name="_xlnm.Print_Area" localSheetId="1">'Report Parameters'!$A$1:$B$25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<sst xmlns="http://schemas.openxmlformats.org/spreadsheetml/2006/main" uniqueCount="235">
  <si>
    <t>Rent Roll</t>
  </si>
  <si>
    <t>The Lower Burnside Lofts</t>
  </si>
  <si>
    <t>Apr 2026</t>
  </si>
  <si>
    <t>Unit Details</t>
  </si>
  <si>
    <t>Bldg-Unit</t>
  </si>
  <si>
    <t>Unit Type</t>
  </si>
  <si>
    <t>SQFT</t>
  </si>
  <si>
    <t>Unit Status</t>
  </si>
  <si>
    <t>Resident</t>
  </si>
  <si>
    <t>Move-In</t>
  </si>
  <si>
    <t>Lease Start</t>
  </si>
  <si>
    <t>Lease End</t>
  </si>
  <si>
    <t>Expected Move-Out</t>
  </si>
  <si>
    <t>Market Rent</t>
  </si>
  <si>
    <t>Actual Charges</t>
  </si>
  <si>
    <t>Scheduled Charges</t>
  </si>
  <si>
    <t>Balance</t>
  </si>
  <si>
    <t>Deposit Held</t>
  </si>
  <si>
    <t>102</t>
  </si>
  <si>
    <t>LBLEFF4</t>
  </si>
  <si>
    <t>Notice Unrented</t>
  </si>
  <si>
    <t>Schmidt, Austin</t>
  </si>
  <si>
    <t>201</t>
  </si>
  <si>
    <t>LBLA12</t>
  </si>
  <si>
    <t>Occupied No Notice</t>
  </si>
  <si>
    <t>Baer, R Cooper</t>
  </si>
  <si>
    <t>202</t>
  </si>
  <si>
    <t>LBLA7</t>
  </si>
  <si>
    <t>Griswold, Gavin</t>
  </si>
  <si>
    <t>203</t>
  </si>
  <si>
    <t>LBLA1</t>
  </si>
  <si>
    <t>Rasmuson, Jack</t>
  </si>
  <si>
    <t>204</t>
  </si>
  <si>
    <t>LBLA6</t>
  </si>
  <si>
    <t>Milhauser, Nick</t>
  </si>
  <si>
    <t>205</t>
  </si>
  <si>
    <t>LBLA3</t>
  </si>
  <si>
    <t>Mcgillvray, Donald</t>
  </si>
  <si>
    <t>206</t>
  </si>
  <si>
    <t>LBLA2</t>
  </si>
  <si>
    <t>Shao, Amber</t>
  </si>
  <si>
    <t>207</t>
  </si>
  <si>
    <t>LBLB4</t>
  </si>
  <si>
    <t>Lubbehusen, Morgan</t>
  </si>
  <si>
    <t>208</t>
  </si>
  <si>
    <t>LBLA9</t>
  </si>
  <si>
    <t>Strand, Kristopher</t>
  </si>
  <si>
    <t>209</t>
  </si>
  <si>
    <t>LBLA10</t>
  </si>
  <si>
    <t>Lynch, Kaitlyn</t>
  </si>
  <si>
    <t>210</t>
  </si>
  <si>
    <t>LBLA11</t>
  </si>
  <si>
    <t>Kirkland, Camry</t>
  </si>
  <si>
    <t>211</t>
  </si>
  <si>
    <t>LBLEFF3</t>
  </si>
  <si>
    <t>Graff, Courtnie</t>
  </si>
  <si>
    <t>212</t>
  </si>
  <si>
    <t>LBLEFF1</t>
  </si>
  <si>
    <t>Doherty, Kaitlyn</t>
  </si>
  <si>
    <t>213</t>
  </si>
  <si>
    <t>LBLERR2</t>
  </si>
  <si>
    <t>Dancel, Justin</t>
  </si>
  <si>
    <t>301</t>
  </si>
  <si>
    <t>Hammack, Scott</t>
  </si>
  <si>
    <t>302</t>
  </si>
  <si>
    <t>Dominguez, Judith</t>
  </si>
  <si>
    <t>303</t>
  </si>
  <si>
    <t>LBLA5</t>
  </si>
  <si>
    <t>Rasmuson, Kate</t>
  </si>
  <si>
    <t>304</t>
  </si>
  <si>
    <t>Beazer, Zeth</t>
  </si>
  <si>
    <t>305</t>
  </si>
  <si>
    <t>Jibicha, Feyisa</t>
  </si>
  <si>
    <t>306</t>
  </si>
  <si>
    <t>Piesner, Jacob</t>
  </si>
  <si>
    <t>307</t>
  </si>
  <si>
    <t>Vacant Rented Ready</t>
  </si>
  <si>
    <t>-- Vacant --</t>
  </si>
  <si>
    <t>308</t>
  </si>
  <si>
    <t>LBLA8</t>
  </si>
  <si>
    <t>Welch, Anthony</t>
  </si>
  <si>
    <t>309</t>
  </si>
  <si>
    <t>Miller, Thomas</t>
  </si>
  <si>
    <t>310</t>
  </si>
  <si>
    <t>Rihm, Emily</t>
  </si>
  <si>
    <t>311</t>
  </si>
  <si>
    <t>Claxton-Garcia, Jhonnattan</t>
  </si>
  <si>
    <t>312</t>
  </si>
  <si>
    <t>Rauen, Kurt</t>
  </si>
  <si>
    <t>313</t>
  </si>
  <si>
    <t>Sweeney, Matthew</t>
  </si>
  <si>
    <t>401</t>
  </si>
  <si>
    <t>Harris, Bradford</t>
  </si>
  <si>
    <t>402</t>
  </si>
  <si>
    <t>Miller, Jared</t>
  </si>
  <si>
    <t>403</t>
  </si>
  <si>
    <t>Valdez, Jose</t>
  </si>
  <si>
    <t>404</t>
  </si>
  <si>
    <t>Crumbliss-Santiago, Quentin</t>
  </si>
  <si>
    <t>405</t>
  </si>
  <si>
    <t>Rico, Christian</t>
  </si>
  <si>
    <t>406</t>
  </si>
  <si>
    <t>Hopper, John</t>
  </si>
  <si>
    <t>407</t>
  </si>
  <si>
    <t>408</t>
  </si>
  <si>
    <t>Abbasi, Omar</t>
  </si>
  <si>
    <t>409</t>
  </si>
  <si>
    <t>Nicoll, Gabrielle</t>
  </si>
  <si>
    <t>410</t>
  </si>
  <si>
    <t>Miloscia, Michael</t>
  </si>
  <si>
    <t>411</t>
  </si>
  <si>
    <t>Pope, Ted</t>
  </si>
  <si>
    <t>412</t>
  </si>
  <si>
    <t>Lipscomb, Aston</t>
  </si>
  <si>
    <t>413</t>
  </si>
  <si>
    <t>Piersall, Autumn</t>
  </si>
  <si>
    <t>501</t>
  </si>
  <si>
    <t>Coen, Joshua</t>
  </si>
  <si>
    <t>502</t>
  </si>
  <si>
    <t>Hoke, Willis</t>
  </si>
  <si>
    <t>503</t>
  </si>
  <si>
    <t>Escobedo, Hugo</t>
  </si>
  <si>
    <t>504</t>
  </si>
  <si>
    <t>Robbins, Roxy</t>
  </si>
  <si>
    <t>505</t>
  </si>
  <si>
    <t>Cortez, Esteban</t>
  </si>
  <si>
    <t>506</t>
  </si>
  <si>
    <t>Notice Rented</t>
  </si>
  <si>
    <t>Perez, Emanuel</t>
  </si>
  <si>
    <t>507</t>
  </si>
  <si>
    <t>Westphal, Theresa</t>
  </si>
  <si>
    <t>508</t>
  </si>
  <si>
    <t>Vacant Unrented Not Ready</t>
  </si>
  <si>
    <t>509</t>
  </si>
  <si>
    <t>Nguyen, Bang</t>
  </si>
  <si>
    <t>510</t>
  </si>
  <si>
    <t>Simon, Lena</t>
  </si>
  <si>
    <t>511</t>
  </si>
  <si>
    <t>Goblirsch, Kade</t>
  </si>
  <si>
    <t>512</t>
  </si>
  <si>
    <t>Aguiar, Ashley</t>
  </si>
  <si>
    <t>513</t>
  </si>
  <si>
    <t>Masson, Ryan</t>
  </si>
  <si>
    <t>601</t>
  </si>
  <si>
    <t>LBLA13</t>
  </si>
  <si>
    <t>Evans, Travis</t>
  </si>
  <si>
    <t>602</t>
  </si>
  <si>
    <t>Werth, Jonathan</t>
  </si>
  <si>
    <t>603</t>
  </si>
  <si>
    <t>LBLA4</t>
  </si>
  <si>
    <t>Tymofiienko, Valentyn</t>
  </si>
  <si>
    <t>604</t>
  </si>
  <si>
    <t>Konopacki, Steven</t>
  </si>
  <si>
    <t>605</t>
  </si>
  <si>
    <t>Broman, Lisa</t>
  </si>
  <si>
    <t>606</t>
  </si>
  <si>
    <t>LBLB3</t>
  </si>
  <si>
    <t>Damas, Bryce</t>
  </si>
  <si>
    <t>607</t>
  </si>
  <si>
    <t>LBLB5</t>
  </si>
  <si>
    <t>Nothnagel, Troy</t>
  </si>
  <si>
    <t>608</t>
  </si>
  <si>
    <t>LBLB2</t>
  </si>
  <si>
    <t>Vacant Unrented Ready</t>
  </si>
  <si>
    <t>609</t>
  </si>
  <si>
    <t>Blackmon, Deborah</t>
  </si>
  <si>
    <t>610</t>
  </si>
  <si>
    <t>LBLB1</t>
  </si>
  <si>
    <t>The Lower Burnside Lofts Total:</t>
  </si>
  <si>
    <t>Status Summary</t>
  </si>
  <si>
    <t>Description</t>
  </si>
  <si>
    <t>Unit Count</t>
  </si>
  <si>
    <t>Percent</t>
  </si>
  <si>
    <t>Status Summary: Scheduled Rent</t>
  </si>
  <si>
    <t>Status Summary: Scheduled Other</t>
  </si>
  <si>
    <t>Status Summary: 0</t>
  </si>
  <si>
    <t>Status Summary: 1</t>
  </si>
  <si>
    <t>Status Summary: 2</t>
  </si>
  <si>
    <t>Status Summary: 9</t>
  </si>
  <si>
    <t>Status Summary: 12</t>
  </si>
  <si>
    <t>Status Summary: 13</t>
  </si>
  <si>
    <t>Status Summary: 21</t>
  </si>
  <si>
    <t>Status Summary: 22</t>
  </si>
  <si>
    <t>Status Summary: 23</t>
  </si>
  <si>
    <t>Total Occupied Units</t>
  </si>
  <si>
    <t>Total Vacant Units</t>
  </si>
  <si>
    <t>Total Rentable Units</t>
  </si>
  <si>
    <t>Charge Code Summary</t>
  </si>
  <si>
    <t>Charge Code</t>
  </si>
  <si>
    <t>Scheduled</t>
  </si>
  <si>
    <t>Charge Code Type</t>
  </si>
  <si>
    <t>Ledger: Resident</t>
  </si>
  <si>
    <t>Parking/Garage Rent</t>
  </si>
  <si>
    <t>Other Income</t>
  </si>
  <si>
    <t>Pet Rent - Monthly</t>
  </si>
  <si>
    <t>Residential Rent</t>
  </si>
  <si>
    <t>Rent</t>
  </si>
  <si>
    <t>Resident Total:</t>
  </si>
  <si>
    <t>Total:</t>
  </si>
  <si>
    <t>Future Resident Details</t>
  </si>
  <si>
    <t>Selected report filters returned no data</t>
  </si>
  <si>
    <t>Report Parameters</t>
  </si>
  <si>
    <t>Report Name</t>
  </si>
  <si>
    <t>Version</t>
  </si>
  <si>
    <t>Property Groups</t>
  </si>
  <si>
    <t>Period</t>
  </si>
  <si>
    <t>Current Post Month</t>
  </si>
  <si>
    <t>Group By</t>
  </si>
  <si>
    <t>Do Not Group</t>
  </si>
  <si>
    <t>Summarize By</t>
  </si>
  <si>
    <t>Do Not Summarize</t>
  </si>
  <si>
    <t>Expand By</t>
  </si>
  <si>
    <t>Do Not Expand</t>
  </si>
  <si>
    <t>Resident Friendly View</t>
  </si>
  <si>
    <t>Hide</t>
  </si>
  <si>
    <t>All</t>
  </si>
  <si>
    <t>Consider Proration for Scheduled Charges</t>
  </si>
  <si>
    <t>Summarize Units</t>
  </si>
  <si>
    <t>No</t>
  </si>
  <si>
    <t>Future Resident Details Includes</t>
  </si>
  <si>
    <t>Future Residents</t>
  </si>
  <si>
    <t>Lease Occupancy Types</t>
  </si>
  <si>
    <t>All Lease Occupancy Types</t>
  </si>
  <si>
    <t>Other Income Details</t>
  </si>
  <si>
    <t>Consolidate By</t>
  </si>
  <si>
    <t>Do Not Consolidate</t>
  </si>
  <si>
    <t>Arrange By Property</t>
  </si>
  <si>
    <t>Subtotals</t>
  </si>
  <si>
    <t>Future Residents Not Assigned a Unit</t>
  </si>
  <si>
    <t>Show</t>
  </si>
  <si>
    <t>Enable Drill-ins</t>
  </si>
  <si>
    <t>Yes</t>
  </si>
  <si>
    <t>Rent Roll 4.2 generated</t>
  </si>
  <si>
    <t>04/30/2026 10:37 PM PDT</t>
  </si>
  <si>
    <t xml:space="preserve"> data as of</t>
  </si>
</sst>
</file>

<file path=xl/styles.xml><?xml version="1.0" encoding="utf-8"?>
<styleSheet xmlns="http://schemas.openxmlformats.org/spreadsheetml/2006/main" xml:space="preserve">
  <numFmts count="2">
    <numFmt numFmtId="164" formatCode="#,##0.00;[Red]#,##0.00"/>
    <numFmt numFmtId="165" formatCode="#,##0.00;(#,##0.00)"/>
  </numFmts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sans-serif"/>
    </font>
    <font>
      <b val="1"/>
      <i val="0"/>
      <strike val="0"/>
      <u val="none"/>
      <sz val="10"/>
      <color rgb="FF000000"/>
      <name val="sans-serif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9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2" numFmtId="49" fillId="0" borderId="0" applyFont="1" applyNumberFormat="1" applyFill="0" applyBorder="0" applyAlignment="1">
      <alignment horizontal="center" vertical="center" textRotation="0" wrapText="false" shrinkToFit="false"/>
    </xf>
    <xf xfId="0" fontId="1" numFmtId="49" fillId="0" borderId="0" applyFont="1" applyNumberFormat="1" applyFill="0" applyBorder="0" applyAlignment="1">
      <alignment horizontal="left" vertical="center" textRotation="0" wrapText="false" shrinkToFit="false"/>
    </xf>
    <xf xfId="0" fontId="3" numFmtId="49" fillId="2" borderId="0" applyFont="1" applyNumberFormat="1" applyFill="1" applyBorder="0" applyAlignment="1">
      <alignment horizontal="left" vertical="center" textRotation="0" wrapText="true" shrinkToFit="false"/>
    </xf>
    <xf xfId="0" fontId="3" numFmtId="164" fillId="2" borderId="0" applyFont="1" applyNumberFormat="1" applyFill="1" applyBorder="0" applyAlignment="1">
      <alignment horizontal="right" vertical="center" textRotation="0" wrapText="true" shrinkToFit="false"/>
    </xf>
    <xf xfId="0" fontId="3" numFmtId="14" fillId="2" borderId="0" applyFont="1" applyNumberFormat="1" applyFill="1" applyBorder="0" applyAlignment="1">
      <alignment vertical="center" textRotation="0" wrapText="true" shrinkToFit="false"/>
    </xf>
    <xf xfId="0" fontId="3" numFmtId="165" fillId="2" borderId="0" applyFont="1" applyNumberFormat="1" applyFill="1" applyBorder="0" applyAlignment="1">
      <alignment horizontal="right" vertical="center" textRotation="0" wrapText="true" shrinkToFit="false"/>
    </xf>
    <xf xfId="0" fontId="2" numFmtId="49" fillId="0" borderId="0" applyFont="1" applyNumberFormat="1" applyFill="0" applyBorder="0" applyAlignment="1">
      <alignment horizontal="left" vertical="center" textRotation="0" wrapText="false" shrinkToFit="false"/>
    </xf>
    <xf xfId="0" fontId="2" numFmtId="14" fillId="0" borderId="0" applyFont="1" applyNumberFormat="1" applyFill="0" applyBorder="0" applyAlignment="1">
      <alignment horizontal="left" vertical="center" textRotation="0" wrapText="false" shrinkToFit="false"/>
    </xf>
    <xf xfId="0" fontId="3" numFmtId="49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0" borderId="1" applyFont="1" applyNumberFormat="1" applyFill="0" applyBorder="1" applyAlignment="1">
      <alignment horizontal="right" vertical="center" textRotation="0" wrapText="false" shrinkToFit="false"/>
    </xf>
    <xf xfId="0" fontId="3" numFmtId="165" fillId="0" borderId="1" applyFont="1" applyNumberFormat="1" applyFill="0" applyBorder="1" applyAlignment="1">
      <alignment horizontal="right" vertical="center" textRotation="0" wrapText="false" shrinkToFit="false"/>
    </xf>
    <xf xfId="0" fontId="2" numFmtId="164" fillId="0" borderId="0" applyFont="1" applyNumberFormat="1" applyFill="0" applyBorder="0" applyAlignment="1">
      <alignment horizontal="right" vertical="center" textRotation="0" wrapText="false" shrinkToFit="false"/>
    </xf>
    <xf xfId="0" fontId="2" numFmtId="165" fillId="0" borderId="0" applyFont="1" applyNumberFormat="1" applyFill="0" applyBorder="0" applyAlignment="1">
      <alignment horizontal="right" vertical="center" textRotation="0" wrapText="false" shrinkToFit="false"/>
    </xf>
    <xf xfId="0" fontId="3" numFmtId="10" fillId="2" borderId="0" applyFont="1" applyNumberFormat="1" applyFill="1" applyBorder="0" applyAlignment="1">
      <alignment horizontal="right" vertical="center" textRotation="0" wrapText="true" shrinkToFit="false"/>
    </xf>
    <xf xfId="0" fontId="3" numFmtId="165" fillId="2" borderId="0" applyFont="1" applyNumberFormat="1" applyFill="1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right" vertical="center" textRotation="0" wrapText="false" shrinkToFit="false"/>
    </xf>
    <xf xfId="0" fontId="3" numFmtId="49" fillId="2" borderId="0" applyFont="1" applyNumberFormat="1" applyFill="1" applyBorder="0" applyAlignment="1">
      <alignment horizontal="left" vertical="center" textRotation="0" wrapText="false" shrinkToFit="false"/>
    </xf>
    <xf xfId="0" fontId="2" numFmtId="49" fillId="0" borderId="0" applyFont="1" applyNumberFormat="1" applyFill="0" applyBorder="0" applyAlignment="1">
      <alignment horizontal="left" vertical="center" textRotation="0" wrapText="false" shrinkToFit="false" indent="2"/>
    </xf>
    <xf xfId="0" fontId="3" numFmtId="164" fillId="0" borderId="2" applyFont="1" applyNumberFormat="1" applyFill="0" applyBorder="1" applyAlignment="1">
      <alignment horizontal="right" vertical="center" textRotation="0" wrapText="false" shrinkToFit="false"/>
    </xf>
    <xf xfId="0" fontId="3" numFmtId="10" fillId="0" borderId="2" applyFont="1" applyNumberFormat="1" applyFill="0" applyBorder="1" applyAlignment="1">
      <alignment horizontal="right" vertical="center" textRotation="0" wrapText="false" shrinkToFit="false"/>
    </xf>
    <xf xfId="0" fontId="3" numFmtId="165" fillId="0" borderId="2" applyFont="1" applyNumberFormat="1" applyFill="0" applyBorder="1" applyAlignment="1">
      <alignment horizontal="right" vertical="center" textRotation="0" wrapText="false" shrinkToFit="false"/>
    </xf>
    <xf xfId="0" fontId="3" numFmtId="10" fillId="0" borderId="1" applyFont="1" applyNumberFormat="1" applyFill="0" applyBorder="1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49" fillId="0" borderId="0" applyFont="1" applyNumberFormat="1" applyFill="0" applyBorder="0" applyAlignment="1">
      <alignment horizontal="left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5" numFmtId="0" fillId="0" borderId="0" applyFont="1" applyNumberFormat="0" applyFill="0" applyBorder="0" applyAlignment="1">
      <alignment horizontal="right" vertical="top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BV87"/>
  <sheetViews>
    <sheetView tabSelected="1" workbookViewId="0" showGridLines="true" showRowColHeaders="1">
      <selection activeCell="A87" sqref="A87"/>
    </sheetView>
  </sheetViews>
  <sheetFormatPr defaultRowHeight="14.4" outlineLevelRow="0" outlineLevelCol="0"/>
  <cols>
    <col min="1" max="1" width="13.571428571429" customWidth="true" style="0"/>
    <col min="2" max="2" width="13.571428571429" customWidth="true" style="0"/>
    <col min="3" max="3" width="10.714285714286" customWidth="true" style="0"/>
    <col min="4" max="4" width="10.714285714286" customWidth="true" style="0"/>
    <col min="5" max="5" width="13.571428571429" customWidth="true" style="0"/>
    <col min="6" max="6" width="10.714285714286" customWidth="true" style="0"/>
    <col min="7" max="7" width="10.714285714286" customWidth="true" style="0"/>
    <col min="8" max="8" width="10.714285714286" customWidth="true" style="0"/>
    <col min="9" max="9" width="10.714285714286" customWidth="true" style="0"/>
    <col min="10" max="10" width="10.714285714286" customWidth="true" style="0"/>
    <col min="11" max="11" width="10.714285714286" customWidth="true" style="0"/>
    <col min="12" max="12" width="10.714285714286" customWidth="true" style="0"/>
    <col min="13" max="13" width="10.714285714286" customWidth="true" style="0"/>
    <col min="14" max="14" width="10.714285714286" customWidth="true" style="0"/>
    <col min="16" max="16" width="10.714285714286" hidden="true" customWidth="true" style="0"/>
    <col min="17" max="17" width="10.714285714286" hidden="true" customWidth="true" style="0"/>
    <col min="18" max="18" width="17.428571428571" hidden="true" customWidth="true" style="0"/>
    <col min="19" max="19" width="28.8" hidden="true" customWidth="true" style="0"/>
    <col min="20" max="20" width="14.4" hidden="true" customWidth="true" style="0"/>
    <col min="21" max="21" width="17.428571428571" hidden="true" customWidth="true" style="0"/>
    <col min="22" max="22" width="17.428571428571" hidden="true" customWidth="true" style="0"/>
    <col min="23" max="23" width="17.428571428571" hidden="true" customWidth="true" style="0"/>
    <col min="24" max="24" width="17.428571428571" hidden="true" customWidth="true" style="0"/>
    <col min="25" max="25" width="17.428571428571" hidden="true" customWidth="true" style="0"/>
    <col min="26" max="26" width="17.428571428571" hidden="true" customWidth="true" style="0"/>
    <col min="29" max="29" width="9.10" hidden="true" style="0"/>
    <col min="30" max="30" width="9.10" hidden="true" style="0"/>
    <col min="31" max="31" width="9.10" hidden="true" style="0"/>
    <col min="32" max="32" width="9.10" hidden="true" style="0"/>
    <col min="33" max="33" width="9.10" hidden="true" style="0"/>
    <col min="34" max="34" width="9.10" hidden="true" style="0"/>
    <col min="35" max="35" width="9.10" hidden="true" style="0"/>
    <col min="36" max="36" width="9.10" hidden="true" style="0"/>
    <col min="37" max="37" width="9.10" hidden="true" style="0"/>
    <col min="38" max="38" width="9.10" hidden="true" style="0"/>
    <col min="39" max="39" width="9.10" hidden="true" style="0"/>
    <col min="40" max="40" width="9.10" hidden="true" style="0"/>
    <col min="41" max="41" width="9.10" hidden="true" style="0"/>
    <col min="42" max="42" width="9.10" hidden="true" style="0"/>
    <col min="43" max="43" width="9.10" hidden="true" style="0"/>
    <col min="44" max="44" width="9.10" hidden="true" style="0"/>
    <col min="45" max="45" width="9.10" hidden="true" style="0"/>
    <col min="46" max="46" width="9.10" hidden="true" style="0"/>
    <col min="47" max="47" width="9.10" hidden="true" style="0"/>
    <col min="48" max="48" width="9.10" hidden="true" style="0"/>
    <col min="49" max="49" width="9.10" hidden="true" style="0"/>
    <col min="50" max="50" width="9.10" hidden="true" style="0"/>
    <col min="51" max="51" width="9.10" hidden="true" style="0"/>
    <col min="53" max="53" width="9.10" hidden="true" style="0"/>
    <col min="54" max="54" width="9.10" hidden="true" style="0"/>
    <col min="55" max="55" width="9.10" hidden="true" style="0"/>
    <col min="56" max="56" width="9.10" hidden="true" style="0"/>
    <col min="57" max="57" width="9.10" hidden="true" style="0"/>
    <col min="58" max="58" width="9.10" hidden="true" style="0"/>
    <col min="59" max="59" width="9.10" hidden="true" style="0"/>
    <col min="60" max="60" width="9.10" hidden="true" style="0"/>
    <col min="61" max="61" width="9.10" hidden="true" style="0"/>
    <col min="62" max="62" width="9.10" hidden="true" style="0"/>
    <col min="63" max="63" width="9.10" hidden="true" style="0"/>
    <col min="64" max="64" width="9.10" hidden="true" style="0"/>
    <col min="65" max="65" width="9.10" hidden="true" style="0"/>
    <col min="66" max="66" width="9.10" hidden="true" style="0"/>
    <col min="67" max="67" width="9.10" hidden="true" style="0"/>
    <col min="68" max="68" width="9.10" hidden="true" style="0"/>
    <col min="69" max="69" width="9.10" hidden="true" style="0"/>
    <col min="70" max="70" width="9.10" hidden="true" style="0"/>
    <col min="71" max="71" width="9.10" hidden="true" style="0"/>
    <col min="72" max="72" width="9.10" hidden="true" style="0"/>
    <col min="73" max="73" width="9.10" hidden="true" style="0"/>
    <col min="74" max="74" width="9.10" hidden="true" style="0"/>
  </cols>
  <sheetData>
    <row r="2" spans="1:74">
      <c r="A2" s="1" t="s">
        <v>0</v>
      </c>
    </row>
    <row r="3" spans="1:74">
      <c r="A3" s="2" t="s">
        <v>1</v>
      </c>
    </row>
    <row r="4" spans="1:74">
      <c r="A4" s="2" t="s">
        <v>2</v>
      </c>
    </row>
    <row r="6" spans="1:74">
      <c r="A6" s="3" t="s">
        <v>3</v>
      </c>
    </row>
    <row r="7" spans="1:74">
      <c r="A7" s="4" t="s">
        <v>4</v>
      </c>
      <c r="B7" s="4" t="s">
        <v>5</v>
      </c>
      <c r="C7" s="5" t="s">
        <v>6</v>
      </c>
      <c r="D7" s="4" t="s">
        <v>7</v>
      </c>
      <c r="E7" s="4" t="s">
        <v>8</v>
      </c>
      <c r="F7" s="6" t="s">
        <v>9</v>
      </c>
      <c r="G7" s="6" t="s">
        <v>10</v>
      </c>
      <c r="H7" s="6" t="s">
        <v>11</v>
      </c>
      <c r="I7" s="6" t="s">
        <v>12</v>
      </c>
      <c r="J7" s="7" t="s">
        <v>13</v>
      </c>
      <c r="K7" s="7" t="s">
        <v>14</v>
      </c>
      <c r="L7" s="7" t="s">
        <v>15</v>
      </c>
      <c r="M7" s="7" t="s">
        <v>16</v>
      </c>
      <c r="N7" s="7" t="s">
        <v>17</v>
      </c>
    </row>
    <row r="8" spans="1:74">
      <c r="A8" s="8" t="s">
        <v>18</v>
      </c>
      <c r="B8" s="8" t="s">
        <v>19</v>
      </c>
      <c r="C8" s="13">
        <v>544.0</v>
      </c>
      <c r="D8" s="8" t="s">
        <v>20</v>
      </c>
      <c r="E8" s="8" t="s">
        <v>21</v>
      </c>
      <c r="F8" s="9">
        <v>44428.0</v>
      </c>
      <c r="G8" s="9">
        <v>45920.0</v>
      </c>
      <c r="H8" s="9">
        <v>46150.0</v>
      </c>
      <c r="I8" s="9">
        <v>46150.0</v>
      </c>
      <c r="J8" s="14">
        <v>1625.0</v>
      </c>
      <c r="K8" s="14">
        <v>1826.92</v>
      </c>
      <c r="L8" s="14">
        <v>1625.0</v>
      </c>
      <c r="M8" s="14">
        <v>0.0</v>
      </c>
      <c r="N8" s="14">
        <v>99.0</v>
      </c>
    </row>
    <row r="9" spans="1:74">
      <c r="A9" s="8" t="s">
        <v>22</v>
      </c>
      <c r="B9" s="8" t="s">
        <v>23</v>
      </c>
      <c r="C9" s="13">
        <v>595.0</v>
      </c>
      <c r="D9" s="8" t="s">
        <v>24</v>
      </c>
      <c r="E9" s="8" t="s">
        <v>25</v>
      </c>
      <c r="F9" s="9">
        <v>46106.0</v>
      </c>
      <c r="G9" s="9">
        <v>46106.0</v>
      </c>
      <c r="H9" s="9">
        <v>46477.0</v>
      </c>
      <c r="J9" s="14">
        <v>1399.0</v>
      </c>
      <c r="K9" s="14">
        <v>0.0</v>
      </c>
      <c r="L9" s="14">
        <v>1399.0</v>
      </c>
      <c r="M9" s="14">
        <v>-315.9</v>
      </c>
      <c r="N9" s="14">
        <v>300.0</v>
      </c>
    </row>
    <row r="10" spans="1:74">
      <c r="A10" s="8" t="s">
        <v>26</v>
      </c>
      <c r="B10" s="8" t="s">
        <v>27</v>
      </c>
      <c r="C10" s="13">
        <v>569.0</v>
      </c>
      <c r="D10" s="8" t="s">
        <v>24</v>
      </c>
      <c r="E10" s="8" t="s">
        <v>28</v>
      </c>
      <c r="F10" s="9">
        <v>45771.0</v>
      </c>
      <c r="G10" s="9">
        <v>45771.0</v>
      </c>
      <c r="H10" s="9">
        <v>46196.0</v>
      </c>
      <c r="J10" s="14">
        <v>1475.0</v>
      </c>
      <c r="K10" s="14">
        <v>1525.43</v>
      </c>
      <c r="L10" s="14">
        <v>1421.0</v>
      </c>
      <c r="M10" s="14">
        <v>0.0</v>
      </c>
      <c r="N10" s="14">
        <v>300.0</v>
      </c>
    </row>
    <row r="11" spans="1:74">
      <c r="A11" s="8" t="s">
        <v>29</v>
      </c>
      <c r="B11" s="8" t="s">
        <v>30</v>
      </c>
      <c r="C11" s="13">
        <v>507.0</v>
      </c>
      <c r="D11" s="8" t="s">
        <v>24</v>
      </c>
      <c r="E11" s="8" t="s">
        <v>31</v>
      </c>
      <c r="F11" s="9">
        <v>46097.0</v>
      </c>
      <c r="G11" s="9">
        <v>46097.0</v>
      </c>
      <c r="H11" s="9">
        <v>46477.0</v>
      </c>
      <c r="J11" s="14">
        <v>1281.0</v>
      </c>
      <c r="K11" s="14">
        <v>781.0</v>
      </c>
      <c r="L11" s="14">
        <v>1281.0</v>
      </c>
      <c r="M11" s="14">
        <v>-500.0</v>
      </c>
      <c r="N11" s="14">
        <v>300.0</v>
      </c>
    </row>
    <row r="12" spans="1:74">
      <c r="A12" s="8" t="s">
        <v>32</v>
      </c>
      <c r="B12" s="8" t="s">
        <v>33</v>
      </c>
      <c r="C12" s="13">
        <v>566.0</v>
      </c>
      <c r="D12" s="8" t="s">
        <v>24</v>
      </c>
      <c r="E12" s="8" t="s">
        <v>34</v>
      </c>
      <c r="F12" s="9">
        <v>45706.0</v>
      </c>
      <c r="G12" s="9">
        <v>46113.0</v>
      </c>
      <c r="H12" s="9">
        <v>46477.0</v>
      </c>
      <c r="J12" s="14">
        <v>1470.0</v>
      </c>
      <c r="K12" s="14">
        <v>1603.12</v>
      </c>
      <c r="L12" s="14">
        <v>1499.0</v>
      </c>
      <c r="M12" s="14">
        <v>0.0</v>
      </c>
      <c r="N12" s="14">
        <v>99.0</v>
      </c>
    </row>
    <row r="13" spans="1:74">
      <c r="A13" s="8" t="s">
        <v>35</v>
      </c>
      <c r="B13" s="8" t="s">
        <v>36</v>
      </c>
      <c r="C13" s="13">
        <v>513.0</v>
      </c>
      <c r="D13" s="8" t="s">
        <v>24</v>
      </c>
      <c r="E13" s="8" t="s">
        <v>37</v>
      </c>
      <c r="F13" s="9">
        <v>45859.0</v>
      </c>
      <c r="G13" s="9">
        <v>45859.0</v>
      </c>
      <c r="H13" s="9">
        <v>46223.0</v>
      </c>
      <c r="J13" s="14">
        <v>1359.0</v>
      </c>
      <c r="K13" s="14">
        <v>1362.8</v>
      </c>
      <c r="L13" s="14">
        <v>1264.0</v>
      </c>
      <c r="M13" s="14">
        <v>0.0</v>
      </c>
      <c r="N13" s="14">
        <v>300.0</v>
      </c>
    </row>
    <row r="14" spans="1:74">
      <c r="A14" s="8" t="s">
        <v>38</v>
      </c>
      <c r="B14" s="8" t="s">
        <v>39</v>
      </c>
      <c r="C14" s="13">
        <v>510.0</v>
      </c>
      <c r="D14" s="8" t="s">
        <v>24</v>
      </c>
      <c r="E14" s="8" t="s">
        <v>40</v>
      </c>
      <c r="F14" s="9">
        <v>45750.0</v>
      </c>
      <c r="G14" s="9">
        <v>45750.0</v>
      </c>
      <c r="H14" s="9">
        <v>46205.0</v>
      </c>
      <c r="J14" s="14">
        <v>1359.0</v>
      </c>
      <c r="K14" s="14">
        <v>1345.51</v>
      </c>
      <c r="L14" s="14">
        <v>1247.0</v>
      </c>
      <c r="M14" s="14">
        <v>0.0</v>
      </c>
      <c r="N14" s="14">
        <v>500.0</v>
      </c>
    </row>
    <row r="15" spans="1:74">
      <c r="A15" s="8" t="s">
        <v>41</v>
      </c>
      <c r="B15" s="8" t="s">
        <v>42</v>
      </c>
      <c r="C15" s="13">
        <v>804.0</v>
      </c>
      <c r="D15" s="8" t="s">
        <v>24</v>
      </c>
      <c r="E15" s="8" t="s">
        <v>43</v>
      </c>
      <c r="F15" s="9">
        <v>45388.0</v>
      </c>
      <c r="G15" s="9">
        <v>45753.0</v>
      </c>
      <c r="H15" s="9">
        <v>46178.0</v>
      </c>
      <c r="J15" s="14">
        <v>2138.0</v>
      </c>
      <c r="K15" s="14">
        <v>2324.29</v>
      </c>
      <c r="L15" s="14">
        <v>2149.0</v>
      </c>
      <c r="M15" s="14">
        <v>0.0</v>
      </c>
      <c r="N15" s="14">
        <v>300.0</v>
      </c>
    </row>
    <row r="16" spans="1:74">
      <c r="A16" s="8" t="s">
        <v>44</v>
      </c>
      <c r="B16" s="8" t="s">
        <v>45</v>
      </c>
      <c r="C16" s="13">
        <v>580.0</v>
      </c>
      <c r="D16" s="8" t="s">
        <v>24</v>
      </c>
      <c r="E16" s="8" t="s">
        <v>46</v>
      </c>
      <c r="F16" s="9">
        <v>45730.0</v>
      </c>
      <c r="G16" s="9">
        <v>46126.0</v>
      </c>
      <c r="H16" s="9">
        <v>46142.0</v>
      </c>
      <c r="J16" s="14">
        <v>1490.0</v>
      </c>
      <c r="K16" s="14">
        <v>1481.53</v>
      </c>
      <c r="L16" s="14">
        <v>1376.0</v>
      </c>
      <c r="M16" s="14">
        <v>0.0</v>
      </c>
      <c r="N16" s="14">
        <v>300.0</v>
      </c>
    </row>
    <row r="17" spans="1:74">
      <c r="A17" s="8" t="s">
        <v>47</v>
      </c>
      <c r="B17" s="8" t="s">
        <v>48</v>
      </c>
      <c r="C17" s="13">
        <v>581.0</v>
      </c>
      <c r="D17" s="8" t="s">
        <v>24</v>
      </c>
      <c r="E17" s="8" t="s">
        <v>49</v>
      </c>
      <c r="F17" s="9">
        <v>45925.0</v>
      </c>
      <c r="G17" s="9">
        <v>45925.0</v>
      </c>
      <c r="H17" s="9">
        <v>46289.0</v>
      </c>
      <c r="J17" s="14">
        <v>1441.0</v>
      </c>
      <c r="K17" s="14">
        <v>1491.62</v>
      </c>
      <c r="L17" s="14">
        <v>1386.0</v>
      </c>
      <c r="M17" s="14">
        <v>0.0</v>
      </c>
      <c r="N17" s="14">
        <v>300.0</v>
      </c>
    </row>
    <row r="18" spans="1:74">
      <c r="A18" s="8" t="s">
        <v>50</v>
      </c>
      <c r="B18" s="8" t="s">
        <v>51</v>
      </c>
      <c r="C18" s="13">
        <v>594.0</v>
      </c>
      <c r="D18" s="8" t="s">
        <v>24</v>
      </c>
      <c r="E18" s="8" t="s">
        <v>52</v>
      </c>
      <c r="F18" s="9">
        <v>45902.0</v>
      </c>
      <c r="G18" s="9">
        <v>45902.0</v>
      </c>
      <c r="H18" s="9">
        <v>46296.0</v>
      </c>
      <c r="J18" s="14">
        <v>1505.0</v>
      </c>
      <c r="K18" s="14">
        <v>1624.22</v>
      </c>
      <c r="L18" s="14">
        <v>1470.0</v>
      </c>
      <c r="M18" s="14">
        <v>0.0</v>
      </c>
      <c r="N18" s="14">
        <v>800.0</v>
      </c>
    </row>
    <row r="19" spans="1:74">
      <c r="A19" s="8" t="s">
        <v>53</v>
      </c>
      <c r="B19" s="8" t="s">
        <v>54</v>
      </c>
      <c r="C19" s="13">
        <v>462.0</v>
      </c>
      <c r="D19" s="8" t="s">
        <v>24</v>
      </c>
      <c r="E19" s="8" t="s">
        <v>55</v>
      </c>
      <c r="F19" s="9">
        <v>45029.0</v>
      </c>
      <c r="G19" s="9">
        <v>45760.0</v>
      </c>
      <c r="H19" s="9">
        <v>46185.0</v>
      </c>
      <c r="J19" s="14">
        <v>1232.0</v>
      </c>
      <c r="K19" s="14">
        <v>1589.69</v>
      </c>
      <c r="L19" s="14">
        <v>1496.0</v>
      </c>
      <c r="M19" s="14">
        <v>-1608.31</v>
      </c>
      <c r="N19" s="14">
        <v>99.0</v>
      </c>
    </row>
    <row r="20" spans="1:74">
      <c r="A20" s="8" t="s">
        <v>56</v>
      </c>
      <c r="B20" s="8" t="s">
        <v>57</v>
      </c>
      <c r="C20" s="13">
        <v>385.0</v>
      </c>
      <c r="D20" s="8" t="s">
        <v>24</v>
      </c>
      <c r="E20" s="8" t="s">
        <v>58</v>
      </c>
      <c r="F20" s="9">
        <v>45843.0</v>
      </c>
      <c r="G20" s="9">
        <v>45843.0</v>
      </c>
      <c r="H20" s="9">
        <v>46299.0</v>
      </c>
      <c r="J20" s="14">
        <v>1180.0</v>
      </c>
      <c r="K20" s="14">
        <v>1168.95</v>
      </c>
      <c r="L20" s="14">
        <v>1083.0</v>
      </c>
      <c r="M20" s="14">
        <v>0.0</v>
      </c>
      <c r="N20" s="14">
        <v>500.0</v>
      </c>
    </row>
    <row r="21" spans="1:74">
      <c r="A21" s="8" t="s">
        <v>59</v>
      </c>
      <c r="B21" s="8" t="s">
        <v>60</v>
      </c>
      <c r="C21" s="13">
        <v>399.0</v>
      </c>
      <c r="D21" s="8" t="s">
        <v>24</v>
      </c>
      <c r="E21" s="8" t="s">
        <v>61</v>
      </c>
      <c r="F21" s="9">
        <v>46056.0</v>
      </c>
      <c r="G21" s="9">
        <v>46056.0</v>
      </c>
      <c r="H21" s="9">
        <v>46446.0</v>
      </c>
      <c r="J21" s="14">
        <v>1206.0</v>
      </c>
      <c r="K21" s="14">
        <v>1265.68</v>
      </c>
      <c r="L21" s="14">
        <v>1206.0</v>
      </c>
      <c r="M21" s="14">
        <v>0.0</v>
      </c>
      <c r="N21" s="14">
        <v>300.0</v>
      </c>
    </row>
    <row r="22" spans="1:74">
      <c r="A22" s="8" t="s">
        <v>62</v>
      </c>
      <c r="B22" s="8" t="s">
        <v>23</v>
      </c>
      <c r="C22" s="13">
        <v>595.0</v>
      </c>
      <c r="D22" s="8" t="s">
        <v>24</v>
      </c>
      <c r="E22" s="8" t="s">
        <v>63</v>
      </c>
      <c r="F22" s="9">
        <v>43808.0</v>
      </c>
      <c r="G22" s="9">
        <v>45725.0</v>
      </c>
      <c r="H22" s="9">
        <v>46173.0</v>
      </c>
      <c r="J22" s="14">
        <v>1446.0</v>
      </c>
      <c r="K22" s="14">
        <v>1984.31</v>
      </c>
      <c r="L22" s="14">
        <v>1830.0</v>
      </c>
      <c r="M22" s="14">
        <v>-1818.47</v>
      </c>
      <c r="N22" s="14">
        <v>399.0</v>
      </c>
    </row>
    <row r="23" spans="1:74">
      <c r="A23" s="8" t="s">
        <v>64</v>
      </c>
      <c r="B23" s="8" t="s">
        <v>27</v>
      </c>
      <c r="C23" s="13">
        <v>569.0</v>
      </c>
      <c r="D23" s="8" t="s">
        <v>24</v>
      </c>
      <c r="E23" s="8" t="s">
        <v>65</v>
      </c>
      <c r="F23" s="9">
        <v>45940.0</v>
      </c>
      <c r="G23" s="9">
        <v>45940.0</v>
      </c>
      <c r="H23" s="9">
        <v>46396.0</v>
      </c>
      <c r="J23" s="14">
        <v>1440.0</v>
      </c>
      <c r="K23" s="14">
        <v>1458.43</v>
      </c>
      <c r="L23" s="14">
        <v>1354.0</v>
      </c>
      <c r="M23" s="14">
        <v>0.0</v>
      </c>
      <c r="N23" s="14">
        <v>600.0</v>
      </c>
    </row>
    <row r="24" spans="1:74">
      <c r="A24" s="8" t="s">
        <v>66</v>
      </c>
      <c r="B24" s="8" t="s">
        <v>67</v>
      </c>
      <c r="C24" s="13">
        <v>551.0</v>
      </c>
      <c r="D24" s="8" t="s">
        <v>24</v>
      </c>
      <c r="E24" s="8" t="s">
        <v>68</v>
      </c>
      <c r="F24" s="9">
        <v>46128.0</v>
      </c>
      <c r="G24" s="9">
        <v>46128.0</v>
      </c>
      <c r="H24" s="9">
        <v>46507.0</v>
      </c>
      <c r="J24" s="14">
        <v>1430.0</v>
      </c>
      <c r="K24" s="14">
        <v>735.0</v>
      </c>
      <c r="L24" s="14">
        <v>1430.0</v>
      </c>
      <c r="M24" s="14">
        <v>-1470.0</v>
      </c>
      <c r="N24" s="14">
        <v>600.0</v>
      </c>
    </row>
    <row r="25" spans="1:74">
      <c r="A25" s="8" t="s">
        <v>69</v>
      </c>
      <c r="B25" s="8" t="s">
        <v>33</v>
      </c>
      <c r="C25" s="13">
        <v>566.0</v>
      </c>
      <c r="D25" s="8" t="s">
        <v>24</v>
      </c>
      <c r="E25" s="8" t="s">
        <v>70</v>
      </c>
      <c r="F25" s="9">
        <v>45505.0</v>
      </c>
      <c r="G25" s="9">
        <v>45870.0</v>
      </c>
      <c r="H25" s="9">
        <v>46326.0</v>
      </c>
      <c r="J25" s="14">
        <v>1435.0</v>
      </c>
      <c r="K25" s="14">
        <v>1786.41</v>
      </c>
      <c r="L25" s="14">
        <v>1635.0</v>
      </c>
      <c r="M25" s="14">
        <v>0.0</v>
      </c>
      <c r="N25" s="14">
        <v>500.0</v>
      </c>
    </row>
    <row r="26" spans="1:74">
      <c r="A26" s="8" t="s">
        <v>71</v>
      </c>
      <c r="B26" s="8" t="s">
        <v>36</v>
      </c>
      <c r="C26" s="13">
        <v>513.0</v>
      </c>
      <c r="D26" s="8" t="s">
        <v>24</v>
      </c>
      <c r="E26" s="8" t="s">
        <v>72</v>
      </c>
      <c r="F26" s="9">
        <v>46080.0</v>
      </c>
      <c r="G26" s="9">
        <v>46080.0</v>
      </c>
      <c r="H26" s="9">
        <v>46446.0</v>
      </c>
      <c r="J26" s="14">
        <v>1349.0</v>
      </c>
      <c r="K26" s="14">
        <v>8.95</v>
      </c>
      <c r="L26" s="14">
        <v>1349.0</v>
      </c>
      <c r="M26" s="14">
        <v>0.0</v>
      </c>
      <c r="N26" s="14">
        <v>300.0</v>
      </c>
    </row>
    <row r="27" spans="1:74">
      <c r="A27" s="8" t="s">
        <v>73</v>
      </c>
      <c r="B27" s="8" t="s">
        <v>39</v>
      </c>
      <c r="C27" s="13">
        <v>510.0</v>
      </c>
      <c r="D27" s="8" t="s">
        <v>24</v>
      </c>
      <c r="E27" s="8" t="s">
        <v>74</v>
      </c>
      <c r="F27" s="9">
        <v>45078.0</v>
      </c>
      <c r="G27" s="9">
        <v>45840.0</v>
      </c>
      <c r="H27" s="9">
        <v>46235.0</v>
      </c>
      <c r="J27" s="14">
        <v>1399.0</v>
      </c>
      <c r="K27" s="14">
        <v>1681.51</v>
      </c>
      <c r="L27" s="14">
        <v>1483.0</v>
      </c>
      <c r="M27" s="14">
        <v>0.0</v>
      </c>
      <c r="N27" s="14">
        <v>600.0</v>
      </c>
    </row>
    <row r="28" spans="1:74">
      <c r="A28" s="8" t="s">
        <v>75</v>
      </c>
      <c r="B28" s="8" t="s">
        <v>42</v>
      </c>
      <c r="C28" s="13">
        <v>804.0</v>
      </c>
      <c r="D28" s="8" t="s">
        <v>76</v>
      </c>
      <c r="E28" s="8" t="s">
        <v>77</v>
      </c>
      <c r="J28" s="14">
        <v>1894.0</v>
      </c>
      <c r="K28" s="14">
        <v>0.0</v>
      </c>
      <c r="L28" s="14">
        <v>0.0</v>
      </c>
      <c r="M28" s="14"/>
      <c r="N28" s="14">
        <v>0.0</v>
      </c>
    </row>
    <row r="29" spans="1:74">
      <c r="A29" s="8" t="s">
        <v>78</v>
      </c>
      <c r="B29" s="8" t="s">
        <v>79</v>
      </c>
      <c r="C29" s="13">
        <v>578.0</v>
      </c>
      <c r="D29" s="8" t="s">
        <v>20</v>
      </c>
      <c r="E29" s="8" t="s">
        <v>80</v>
      </c>
      <c r="F29" s="9">
        <v>45712.0</v>
      </c>
      <c r="G29" s="9">
        <v>46082.0</v>
      </c>
      <c r="H29" s="9">
        <v>46165.0</v>
      </c>
      <c r="I29" s="9">
        <v>46165.0</v>
      </c>
      <c r="J29" s="14">
        <v>1450.0</v>
      </c>
      <c r="K29" s="14">
        <v>1552.32</v>
      </c>
      <c r="L29" s="14">
        <v>1447.0</v>
      </c>
      <c r="M29" s="14">
        <v>0.0</v>
      </c>
      <c r="N29" s="14">
        <v>300.0</v>
      </c>
    </row>
    <row r="30" spans="1:74">
      <c r="A30" s="8" t="s">
        <v>81</v>
      </c>
      <c r="B30" s="8" t="s">
        <v>48</v>
      </c>
      <c r="C30" s="13">
        <v>581.0</v>
      </c>
      <c r="D30" s="8" t="s">
        <v>24</v>
      </c>
      <c r="E30" s="8" t="s">
        <v>82</v>
      </c>
      <c r="F30" s="9">
        <v>42205.0</v>
      </c>
      <c r="G30" s="9">
        <v>43575.0</v>
      </c>
      <c r="J30" s="14">
        <v>1456.0</v>
      </c>
      <c r="K30" s="14">
        <v>1998.62</v>
      </c>
      <c r="L30" s="14">
        <v>1893.0</v>
      </c>
      <c r="M30" s="14">
        <v>0.0</v>
      </c>
      <c r="N30" s="14">
        <v>300.0</v>
      </c>
    </row>
    <row r="31" spans="1:74">
      <c r="A31" s="8" t="s">
        <v>83</v>
      </c>
      <c r="B31" s="8" t="s">
        <v>51</v>
      </c>
      <c r="C31" s="13">
        <v>594.0</v>
      </c>
      <c r="D31" s="8" t="s">
        <v>24</v>
      </c>
      <c r="E31" s="8" t="s">
        <v>84</v>
      </c>
      <c r="F31" s="9">
        <v>43403.0</v>
      </c>
      <c r="G31" s="9">
        <v>45777.0</v>
      </c>
      <c r="H31" s="9">
        <v>46202.0</v>
      </c>
      <c r="J31" s="14">
        <v>1520.0</v>
      </c>
      <c r="K31" s="14">
        <v>1945.93</v>
      </c>
      <c r="L31" s="14">
        <v>1839.0</v>
      </c>
      <c r="M31" s="14">
        <v>0.0</v>
      </c>
      <c r="N31" s="14">
        <v>399.0</v>
      </c>
    </row>
    <row r="32" spans="1:74">
      <c r="A32" s="8" t="s">
        <v>85</v>
      </c>
      <c r="B32" s="8" t="s">
        <v>54</v>
      </c>
      <c r="C32" s="13">
        <v>462.0</v>
      </c>
      <c r="D32" s="8" t="s">
        <v>24</v>
      </c>
      <c r="E32" s="8" t="s">
        <v>86</v>
      </c>
      <c r="F32" s="9">
        <v>43168.0</v>
      </c>
      <c r="G32" s="9">
        <v>45939.0</v>
      </c>
      <c r="H32" s="9">
        <v>46395.0</v>
      </c>
      <c r="J32" s="14">
        <v>1197.0</v>
      </c>
      <c r="K32" s="14">
        <v>1456.69</v>
      </c>
      <c r="L32" s="14">
        <v>1363.0</v>
      </c>
      <c r="M32" s="14">
        <v>-1475.0</v>
      </c>
      <c r="N32" s="14">
        <v>0.0</v>
      </c>
    </row>
    <row r="33" spans="1:74">
      <c r="A33" s="8" t="s">
        <v>87</v>
      </c>
      <c r="B33" s="8" t="s">
        <v>57</v>
      </c>
      <c r="C33" s="13">
        <v>385.0</v>
      </c>
      <c r="D33" s="8" t="s">
        <v>24</v>
      </c>
      <c r="E33" s="8" t="s">
        <v>88</v>
      </c>
      <c r="F33" s="9">
        <v>44356.0</v>
      </c>
      <c r="G33" s="9">
        <v>45817.0</v>
      </c>
      <c r="H33" s="9">
        <v>46211.0</v>
      </c>
      <c r="J33" s="14">
        <v>1145.0</v>
      </c>
      <c r="K33" s="14">
        <v>1497.95</v>
      </c>
      <c r="L33" s="14">
        <v>1412.0</v>
      </c>
      <c r="M33" s="14">
        <v>0.0</v>
      </c>
      <c r="N33" s="14">
        <v>399.0</v>
      </c>
    </row>
    <row r="34" spans="1:74">
      <c r="A34" s="8" t="s">
        <v>89</v>
      </c>
      <c r="B34" s="8" t="s">
        <v>60</v>
      </c>
      <c r="C34" s="13">
        <v>399.0</v>
      </c>
      <c r="D34" s="8" t="s">
        <v>24</v>
      </c>
      <c r="E34" s="8" t="s">
        <v>90</v>
      </c>
      <c r="F34" s="9">
        <v>45508.0</v>
      </c>
      <c r="G34" s="9">
        <v>45873.0</v>
      </c>
      <c r="H34" s="9">
        <v>46268.0</v>
      </c>
      <c r="J34" s="14">
        <v>1171.0</v>
      </c>
      <c r="K34" s="14">
        <v>1275.36</v>
      </c>
      <c r="L34" s="14">
        <v>1188.0</v>
      </c>
      <c r="M34" s="14">
        <v>0.0</v>
      </c>
      <c r="N34" s="14">
        <v>300.0</v>
      </c>
    </row>
    <row r="35" spans="1:74">
      <c r="A35" s="8" t="s">
        <v>91</v>
      </c>
      <c r="B35" s="8" t="s">
        <v>23</v>
      </c>
      <c r="C35" s="13">
        <v>595.0</v>
      </c>
      <c r="D35" s="8" t="s">
        <v>24</v>
      </c>
      <c r="E35" s="8" t="s">
        <v>92</v>
      </c>
      <c r="F35" s="9">
        <v>46024.0</v>
      </c>
      <c r="G35" s="9">
        <v>46024.0</v>
      </c>
      <c r="H35" s="9">
        <v>46418.0</v>
      </c>
      <c r="J35" s="14">
        <v>1451.0</v>
      </c>
      <c r="K35" s="14">
        <v>1558.02</v>
      </c>
      <c r="L35" s="14">
        <v>1451.0</v>
      </c>
      <c r="M35" s="14">
        <v>-1538.1</v>
      </c>
      <c r="N35" s="14">
        <v>300.0</v>
      </c>
    </row>
    <row r="36" spans="1:74">
      <c r="A36" s="8" t="s">
        <v>93</v>
      </c>
      <c r="B36" s="8" t="s">
        <v>27</v>
      </c>
      <c r="C36" s="13">
        <v>569.0</v>
      </c>
      <c r="D36" s="8" t="s">
        <v>24</v>
      </c>
      <c r="E36" s="8" t="s">
        <v>94</v>
      </c>
      <c r="F36" s="9">
        <v>46129.0</v>
      </c>
      <c r="G36" s="9">
        <v>46129.0</v>
      </c>
      <c r="H36" s="9">
        <v>46507.0</v>
      </c>
      <c r="J36" s="14">
        <v>1324.0</v>
      </c>
      <c r="K36" s="14">
        <v>-706.13</v>
      </c>
      <c r="L36" s="14">
        <v>1324.0</v>
      </c>
      <c r="M36" s="14">
        <v>-1324.0</v>
      </c>
      <c r="N36" s="14">
        <v>300.0</v>
      </c>
    </row>
    <row r="37" spans="1:74">
      <c r="A37" s="8" t="s">
        <v>95</v>
      </c>
      <c r="B37" s="8" t="s">
        <v>67</v>
      </c>
      <c r="C37" s="13">
        <v>551.0</v>
      </c>
      <c r="D37" s="8" t="s">
        <v>24</v>
      </c>
      <c r="E37" s="8" t="s">
        <v>96</v>
      </c>
      <c r="F37" s="9">
        <v>45947.0</v>
      </c>
      <c r="G37" s="9">
        <v>45947.0</v>
      </c>
      <c r="H37" s="9">
        <v>46403.0</v>
      </c>
      <c r="J37" s="14">
        <v>1435.0</v>
      </c>
      <c r="K37" s="14">
        <v>1431.62</v>
      </c>
      <c r="L37" s="14">
        <v>1329.0</v>
      </c>
      <c r="M37" s="14">
        <v>0.0</v>
      </c>
      <c r="N37" s="14">
        <v>500.0</v>
      </c>
    </row>
    <row r="38" spans="1:74">
      <c r="A38" s="8" t="s">
        <v>97</v>
      </c>
      <c r="B38" s="8" t="s">
        <v>33</v>
      </c>
      <c r="C38" s="13">
        <v>566.0</v>
      </c>
      <c r="D38" s="8" t="s">
        <v>24</v>
      </c>
      <c r="E38" s="8" t="s">
        <v>98</v>
      </c>
      <c r="F38" s="9">
        <v>45152.0</v>
      </c>
      <c r="G38" s="9">
        <v>45518.0</v>
      </c>
      <c r="J38" s="14">
        <v>1440.0</v>
      </c>
      <c r="K38" s="14">
        <v>1704.12</v>
      </c>
      <c r="L38" s="14">
        <v>1600.0</v>
      </c>
      <c r="M38" s="14">
        <v>0.0</v>
      </c>
      <c r="N38" s="14">
        <v>99.0</v>
      </c>
    </row>
    <row r="39" spans="1:74">
      <c r="A39" s="8" t="s">
        <v>99</v>
      </c>
      <c r="B39" s="8" t="s">
        <v>36</v>
      </c>
      <c r="C39" s="13">
        <v>513.0</v>
      </c>
      <c r="D39" s="8" t="s">
        <v>24</v>
      </c>
      <c r="E39" s="8" t="s">
        <v>100</v>
      </c>
      <c r="F39" s="9">
        <v>45808.0</v>
      </c>
      <c r="G39" s="9">
        <v>45808.0</v>
      </c>
      <c r="H39" s="9">
        <v>46172.0</v>
      </c>
      <c r="J39" s="14">
        <v>1404.0</v>
      </c>
      <c r="K39" s="14">
        <v>1933.8</v>
      </c>
      <c r="L39" s="14">
        <v>1835.0</v>
      </c>
      <c r="M39" s="14">
        <v>0.0</v>
      </c>
      <c r="N39" s="14">
        <v>600.0</v>
      </c>
    </row>
    <row r="40" spans="1:74">
      <c r="A40" s="8" t="s">
        <v>101</v>
      </c>
      <c r="B40" s="8" t="s">
        <v>39</v>
      </c>
      <c r="C40" s="13">
        <v>510.0</v>
      </c>
      <c r="D40" s="8" t="s">
        <v>24</v>
      </c>
      <c r="E40" s="8" t="s">
        <v>102</v>
      </c>
      <c r="F40" s="9">
        <v>46113.0</v>
      </c>
      <c r="G40" s="9">
        <v>46113.0</v>
      </c>
      <c r="H40" s="9">
        <v>46477.0</v>
      </c>
      <c r="J40" s="14">
        <v>1394.0</v>
      </c>
      <c r="K40" s="14">
        <v>1394.0</v>
      </c>
      <c r="L40" s="14">
        <v>1394.0</v>
      </c>
      <c r="M40" s="14">
        <v>0.0</v>
      </c>
      <c r="N40" s="14">
        <v>300.0</v>
      </c>
    </row>
    <row r="41" spans="1:74">
      <c r="A41" s="8" t="s">
        <v>103</v>
      </c>
      <c r="B41" s="8" t="s">
        <v>42</v>
      </c>
      <c r="C41" s="13">
        <v>804.0</v>
      </c>
      <c r="D41" s="8" t="s">
        <v>76</v>
      </c>
      <c r="E41" s="8" t="s">
        <v>77</v>
      </c>
      <c r="J41" s="14">
        <v>1914.0</v>
      </c>
      <c r="K41" s="14">
        <v>0.0</v>
      </c>
      <c r="L41" s="14">
        <v>0.0</v>
      </c>
      <c r="M41" s="14"/>
      <c r="N41" s="14">
        <v>0.0</v>
      </c>
    </row>
    <row r="42" spans="1:74">
      <c r="A42" s="8" t="s">
        <v>104</v>
      </c>
      <c r="B42" s="8" t="s">
        <v>45</v>
      </c>
      <c r="C42" s="13">
        <v>580.0</v>
      </c>
      <c r="D42" s="8" t="s">
        <v>24</v>
      </c>
      <c r="E42" s="8" t="s">
        <v>105</v>
      </c>
      <c r="F42" s="9">
        <v>45923.0</v>
      </c>
      <c r="G42" s="9">
        <v>45923.0</v>
      </c>
      <c r="H42" s="9">
        <v>46348.0</v>
      </c>
      <c r="J42" s="14">
        <v>1510.0</v>
      </c>
      <c r="K42" s="14">
        <v>1497.53</v>
      </c>
      <c r="L42" s="14">
        <v>1392.0</v>
      </c>
      <c r="M42" s="14">
        <v>0.0</v>
      </c>
      <c r="N42" s="14">
        <v>300.0</v>
      </c>
    </row>
    <row r="43" spans="1:74">
      <c r="A43" s="8" t="s">
        <v>106</v>
      </c>
      <c r="B43" s="8" t="s">
        <v>48</v>
      </c>
      <c r="C43" s="13">
        <v>581.0</v>
      </c>
      <c r="D43" s="8" t="s">
        <v>24</v>
      </c>
      <c r="E43" s="8" t="s">
        <v>107</v>
      </c>
      <c r="F43" s="9">
        <v>45642.0</v>
      </c>
      <c r="G43" s="9">
        <v>46007.0</v>
      </c>
      <c r="H43" s="9">
        <v>46387.0</v>
      </c>
      <c r="J43" s="14">
        <v>1461.0</v>
      </c>
      <c r="K43" s="14">
        <v>1413.62</v>
      </c>
      <c r="L43" s="14">
        <v>1308.0</v>
      </c>
      <c r="M43" s="14">
        <v>0.0</v>
      </c>
      <c r="N43" s="14">
        <v>300.0</v>
      </c>
    </row>
    <row r="44" spans="1:74">
      <c r="A44" s="8" t="s">
        <v>108</v>
      </c>
      <c r="B44" s="8" t="s">
        <v>51</v>
      </c>
      <c r="C44" s="13">
        <v>594.0</v>
      </c>
      <c r="D44" s="8" t="s">
        <v>24</v>
      </c>
      <c r="E44" s="8" t="s">
        <v>109</v>
      </c>
      <c r="F44" s="9">
        <v>45279.0</v>
      </c>
      <c r="G44" s="9">
        <v>46010.0</v>
      </c>
      <c r="H44" s="9">
        <v>46387.0</v>
      </c>
      <c r="J44" s="14">
        <v>1475.0</v>
      </c>
      <c r="K44" s="14">
        <v>1851.93</v>
      </c>
      <c r="L44" s="14">
        <v>1745.0</v>
      </c>
      <c r="M44" s="14">
        <v>0.0</v>
      </c>
      <c r="N44" s="14">
        <v>600.0</v>
      </c>
    </row>
    <row r="45" spans="1:74">
      <c r="A45" s="8" t="s">
        <v>110</v>
      </c>
      <c r="B45" s="8" t="s">
        <v>54</v>
      </c>
      <c r="C45" s="13">
        <v>462.0</v>
      </c>
      <c r="D45" s="8" t="s">
        <v>24</v>
      </c>
      <c r="E45" s="8" t="s">
        <v>111</v>
      </c>
      <c r="F45" s="9">
        <v>45757.0</v>
      </c>
      <c r="G45" s="9">
        <v>45757.0</v>
      </c>
      <c r="H45" s="9">
        <v>46151.0</v>
      </c>
      <c r="J45" s="14">
        <v>1202.0</v>
      </c>
      <c r="K45" s="14">
        <v>1266.69</v>
      </c>
      <c r="L45" s="14">
        <v>1173.0</v>
      </c>
      <c r="M45" s="14">
        <v>0.0</v>
      </c>
      <c r="N45" s="14">
        <v>500.0</v>
      </c>
    </row>
    <row r="46" spans="1:74">
      <c r="A46" s="8" t="s">
        <v>112</v>
      </c>
      <c r="B46" s="8" t="s">
        <v>57</v>
      </c>
      <c r="C46" s="13">
        <v>385.0</v>
      </c>
      <c r="D46" s="8" t="s">
        <v>24</v>
      </c>
      <c r="E46" s="8" t="s">
        <v>113</v>
      </c>
      <c r="F46" s="9">
        <v>45864.0</v>
      </c>
      <c r="G46" s="9">
        <v>45864.0</v>
      </c>
      <c r="H46" s="9">
        <v>46259.0</v>
      </c>
      <c r="J46" s="14">
        <v>1150.0</v>
      </c>
      <c r="K46" s="14">
        <v>1340.95</v>
      </c>
      <c r="L46" s="14">
        <v>1255.0</v>
      </c>
      <c r="M46" s="14">
        <v>0.0</v>
      </c>
      <c r="N46" s="14">
        <v>300.0</v>
      </c>
    </row>
    <row r="47" spans="1:74">
      <c r="A47" s="8" t="s">
        <v>114</v>
      </c>
      <c r="B47" s="8" t="s">
        <v>60</v>
      </c>
      <c r="C47" s="13">
        <v>399.0</v>
      </c>
      <c r="D47" s="8" t="s">
        <v>24</v>
      </c>
      <c r="E47" s="8" t="s">
        <v>115</v>
      </c>
      <c r="F47" s="9">
        <v>45944.0</v>
      </c>
      <c r="G47" s="9">
        <v>45944.0</v>
      </c>
      <c r="H47" s="9">
        <v>46400.0</v>
      </c>
      <c r="J47" s="14">
        <v>1176.0</v>
      </c>
      <c r="K47" s="14">
        <v>1168.36</v>
      </c>
      <c r="L47" s="14">
        <v>1081.0</v>
      </c>
      <c r="M47" s="14">
        <v>-1081.0</v>
      </c>
      <c r="N47" s="14">
        <v>300.0</v>
      </c>
    </row>
    <row r="48" spans="1:74">
      <c r="A48" s="8" t="s">
        <v>116</v>
      </c>
      <c r="B48" s="8" t="s">
        <v>23</v>
      </c>
      <c r="C48" s="13">
        <v>595.0</v>
      </c>
      <c r="D48" s="8" t="s">
        <v>24</v>
      </c>
      <c r="E48" s="8" t="s">
        <v>117</v>
      </c>
      <c r="F48" s="9">
        <v>46113.0</v>
      </c>
      <c r="G48" s="9">
        <v>46113.0</v>
      </c>
      <c r="H48" s="9">
        <v>46477.0</v>
      </c>
      <c r="J48" s="14">
        <v>1456.0</v>
      </c>
      <c r="K48" s="14">
        <v>0.0</v>
      </c>
      <c r="L48" s="14">
        <v>1456.0</v>
      </c>
      <c r="M48" s="14">
        <v>-1456.0</v>
      </c>
      <c r="N48" s="14">
        <v>300.0</v>
      </c>
    </row>
    <row r="49" spans="1:74">
      <c r="A49" s="8" t="s">
        <v>118</v>
      </c>
      <c r="B49" s="8" t="s">
        <v>27</v>
      </c>
      <c r="C49" s="13">
        <v>569.0</v>
      </c>
      <c r="D49" s="8" t="s">
        <v>24</v>
      </c>
      <c r="E49" s="8" t="s">
        <v>119</v>
      </c>
      <c r="F49" s="9">
        <v>45642.0</v>
      </c>
      <c r="G49" s="9">
        <v>46007.0</v>
      </c>
      <c r="H49" s="9">
        <v>46387.0</v>
      </c>
      <c r="J49" s="14">
        <v>1450.0</v>
      </c>
      <c r="K49" s="14">
        <v>1401.43</v>
      </c>
      <c r="L49" s="14">
        <v>1297.0</v>
      </c>
      <c r="M49" s="14">
        <v>0.0</v>
      </c>
      <c r="N49" s="14">
        <v>300.0</v>
      </c>
    </row>
    <row r="50" spans="1:74">
      <c r="A50" s="8" t="s">
        <v>120</v>
      </c>
      <c r="B50" s="8" t="s">
        <v>67</v>
      </c>
      <c r="C50" s="13">
        <v>551.0</v>
      </c>
      <c r="D50" s="8" t="s">
        <v>24</v>
      </c>
      <c r="E50" s="8" t="s">
        <v>121</v>
      </c>
      <c r="F50" s="9">
        <v>46059.0</v>
      </c>
      <c r="G50" s="9">
        <v>46059.0</v>
      </c>
      <c r="H50" s="9">
        <v>46446.0</v>
      </c>
      <c r="J50" s="14">
        <v>1399.0</v>
      </c>
      <c r="K50" s="14">
        <v>1642.58</v>
      </c>
      <c r="L50" s="14">
        <v>1584.0</v>
      </c>
      <c r="M50" s="14">
        <v>0.0</v>
      </c>
      <c r="N50" s="14">
        <v>1000.0</v>
      </c>
    </row>
    <row r="51" spans="1:74">
      <c r="A51" s="8" t="s">
        <v>122</v>
      </c>
      <c r="B51" s="8" t="s">
        <v>33</v>
      </c>
      <c r="C51" s="13">
        <v>566.0</v>
      </c>
      <c r="D51" s="8" t="s">
        <v>20</v>
      </c>
      <c r="E51" s="8" t="s">
        <v>123</v>
      </c>
      <c r="F51" s="9">
        <v>45853.0</v>
      </c>
      <c r="G51" s="9">
        <v>45853.0</v>
      </c>
      <c r="H51" s="9">
        <v>46279.0</v>
      </c>
      <c r="I51" s="9">
        <v>46203.0</v>
      </c>
      <c r="J51" s="14">
        <v>1445.0</v>
      </c>
      <c r="K51" s="14">
        <v>3701.41</v>
      </c>
      <c r="L51" s="14">
        <v>1531.0</v>
      </c>
      <c r="M51" s="14">
        <v>2019.0</v>
      </c>
      <c r="N51" s="14">
        <v>500.0</v>
      </c>
    </row>
    <row r="52" spans="1:74">
      <c r="A52" s="8" t="s">
        <v>124</v>
      </c>
      <c r="B52" s="8" t="s">
        <v>36</v>
      </c>
      <c r="C52" s="13">
        <v>513.0</v>
      </c>
      <c r="D52" s="8" t="s">
        <v>24</v>
      </c>
      <c r="E52" s="8" t="s">
        <v>125</v>
      </c>
      <c r="F52" s="9">
        <v>44650.0</v>
      </c>
      <c r="G52" s="9">
        <v>45746.0</v>
      </c>
      <c r="H52" s="9">
        <v>46171.0</v>
      </c>
      <c r="J52" s="14">
        <v>1409.0</v>
      </c>
      <c r="K52" s="14">
        <v>2073.8</v>
      </c>
      <c r="L52" s="14">
        <v>1875.0</v>
      </c>
      <c r="M52" s="14">
        <v>0.0</v>
      </c>
      <c r="N52" s="14">
        <v>99.0</v>
      </c>
    </row>
    <row r="53" spans="1:74">
      <c r="A53" s="8" t="s">
        <v>126</v>
      </c>
      <c r="B53" s="8" t="s">
        <v>39</v>
      </c>
      <c r="C53" s="13">
        <v>510.0</v>
      </c>
      <c r="D53" s="8" t="s">
        <v>127</v>
      </c>
      <c r="E53" s="8" t="s">
        <v>128</v>
      </c>
      <c r="F53" s="9">
        <v>45518.0</v>
      </c>
      <c r="G53" s="9">
        <v>45914.0</v>
      </c>
      <c r="H53" s="9">
        <v>46308.0</v>
      </c>
      <c r="I53" s="9">
        <v>46142.0</v>
      </c>
      <c r="J53" s="14">
        <v>1384.0</v>
      </c>
      <c r="K53" s="14">
        <v>1543.51</v>
      </c>
      <c r="L53" s="14">
        <v>1445.0</v>
      </c>
      <c r="M53" s="14">
        <v>0.0</v>
      </c>
      <c r="N53" s="14">
        <v>300.0</v>
      </c>
    </row>
    <row r="54" spans="1:74">
      <c r="A54" s="8" t="s">
        <v>129</v>
      </c>
      <c r="B54" s="8" t="s">
        <v>42</v>
      </c>
      <c r="C54" s="13">
        <v>804.0</v>
      </c>
      <c r="D54" s="8" t="s">
        <v>24</v>
      </c>
      <c r="E54" s="8" t="s">
        <v>130</v>
      </c>
      <c r="F54" s="9">
        <v>46136.0</v>
      </c>
      <c r="G54" s="9">
        <v>46136.0</v>
      </c>
      <c r="H54" s="9">
        <v>46507.0</v>
      </c>
      <c r="J54" s="14">
        <v>1944.0</v>
      </c>
      <c r="K54" s="14">
        <v>569.6</v>
      </c>
      <c r="L54" s="14">
        <v>1944.0</v>
      </c>
      <c r="M54" s="14">
        <v>0.0</v>
      </c>
      <c r="N54" s="14">
        <v>300.0</v>
      </c>
    </row>
    <row r="55" spans="1:74">
      <c r="A55" s="8" t="s">
        <v>131</v>
      </c>
      <c r="B55" s="8" t="s">
        <v>45</v>
      </c>
      <c r="C55" s="13">
        <v>580.0</v>
      </c>
      <c r="D55" s="8" t="s">
        <v>132</v>
      </c>
      <c r="E55" s="8" t="s">
        <v>77</v>
      </c>
      <c r="J55" s="14">
        <v>1616.0</v>
      </c>
      <c r="K55" s="14">
        <v>0.0</v>
      </c>
      <c r="L55" s="14">
        <v>0.0</v>
      </c>
      <c r="M55" s="14"/>
      <c r="N55" s="14">
        <v>0.0</v>
      </c>
    </row>
    <row r="56" spans="1:74">
      <c r="A56" s="8" t="s">
        <v>133</v>
      </c>
      <c r="B56" s="8" t="s">
        <v>48</v>
      </c>
      <c r="C56" s="13">
        <v>581.0</v>
      </c>
      <c r="D56" s="8" t="s">
        <v>24</v>
      </c>
      <c r="E56" s="8" t="s">
        <v>134</v>
      </c>
      <c r="F56" s="9">
        <v>45610.0</v>
      </c>
      <c r="G56" s="9">
        <v>45975.0</v>
      </c>
      <c r="J56" s="14">
        <v>1466.0</v>
      </c>
      <c r="K56" s="14">
        <v>1426.62</v>
      </c>
      <c r="L56" s="14">
        <v>1321.0</v>
      </c>
      <c r="M56" s="14">
        <v>-100.0</v>
      </c>
      <c r="N56" s="14">
        <v>300.0</v>
      </c>
    </row>
    <row r="57" spans="1:74">
      <c r="A57" s="8" t="s">
        <v>135</v>
      </c>
      <c r="B57" s="8" t="s">
        <v>51</v>
      </c>
      <c r="C57" s="13">
        <v>594.0</v>
      </c>
      <c r="D57" s="8" t="s">
        <v>24</v>
      </c>
      <c r="E57" s="8" t="s">
        <v>136</v>
      </c>
      <c r="F57" s="9">
        <v>45587.0</v>
      </c>
      <c r="G57" s="9">
        <v>46044.0</v>
      </c>
      <c r="H57" s="9">
        <v>46507.0</v>
      </c>
      <c r="J57" s="14">
        <v>1480.0</v>
      </c>
      <c r="K57" s="14">
        <v>1593.88</v>
      </c>
      <c r="L57" s="14">
        <v>1478.0</v>
      </c>
      <c r="M57" s="14">
        <v>0.0</v>
      </c>
      <c r="N57" s="14">
        <v>300.0</v>
      </c>
    </row>
    <row r="58" spans="1:74">
      <c r="A58" s="8" t="s">
        <v>137</v>
      </c>
      <c r="B58" s="8" t="s">
        <v>54</v>
      </c>
      <c r="C58" s="13">
        <v>462.0</v>
      </c>
      <c r="D58" s="8" t="s">
        <v>24</v>
      </c>
      <c r="E58" s="8" t="s">
        <v>138</v>
      </c>
      <c r="F58" s="9">
        <v>45038.0</v>
      </c>
      <c r="G58" s="9">
        <v>45769.0</v>
      </c>
      <c r="H58" s="9">
        <v>46194.0</v>
      </c>
      <c r="J58" s="14">
        <v>1207.0</v>
      </c>
      <c r="K58" s="14">
        <v>1455.69</v>
      </c>
      <c r="L58" s="14">
        <v>1362.0</v>
      </c>
      <c r="M58" s="14">
        <v>0.0</v>
      </c>
      <c r="N58" s="14">
        <v>600.0</v>
      </c>
    </row>
    <row r="59" spans="1:74">
      <c r="A59" s="8" t="s">
        <v>139</v>
      </c>
      <c r="B59" s="8" t="s">
        <v>57</v>
      </c>
      <c r="C59" s="13">
        <v>385.0</v>
      </c>
      <c r="D59" s="8" t="s">
        <v>24</v>
      </c>
      <c r="E59" s="8" t="s">
        <v>140</v>
      </c>
      <c r="F59" s="9">
        <v>45069.0</v>
      </c>
      <c r="G59" s="9">
        <v>45831.0</v>
      </c>
      <c r="H59" s="9">
        <v>46256.0</v>
      </c>
      <c r="J59" s="14">
        <v>1155.0</v>
      </c>
      <c r="K59" s="14">
        <v>1355.95</v>
      </c>
      <c r="L59" s="14">
        <v>1270.0</v>
      </c>
      <c r="M59" s="14">
        <v>-1340.0</v>
      </c>
      <c r="N59" s="14">
        <v>99.0</v>
      </c>
    </row>
    <row r="60" spans="1:74">
      <c r="A60" s="8" t="s">
        <v>141</v>
      </c>
      <c r="B60" s="8" t="s">
        <v>60</v>
      </c>
      <c r="C60" s="13">
        <v>399.0</v>
      </c>
      <c r="D60" s="8" t="s">
        <v>24</v>
      </c>
      <c r="E60" s="8" t="s">
        <v>142</v>
      </c>
      <c r="F60" s="9">
        <v>45931.0</v>
      </c>
      <c r="G60" s="9">
        <v>46113.0</v>
      </c>
      <c r="J60" s="14">
        <v>1181.0</v>
      </c>
      <c r="K60" s="14">
        <v>1387.36</v>
      </c>
      <c r="L60" s="14">
        <v>1300.0</v>
      </c>
      <c r="M60" s="14">
        <v>-1371.13</v>
      </c>
      <c r="N60" s="14">
        <v>300.0</v>
      </c>
    </row>
    <row r="61" spans="1:74">
      <c r="A61" s="8" t="s">
        <v>143</v>
      </c>
      <c r="B61" s="8" t="s">
        <v>144</v>
      </c>
      <c r="C61" s="13">
        <v>608.0</v>
      </c>
      <c r="D61" s="8" t="s">
        <v>24</v>
      </c>
      <c r="E61" s="8" t="s">
        <v>145</v>
      </c>
      <c r="F61" s="9">
        <v>46101.0</v>
      </c>
      <c r="G61" s="9">
        <v>46101.0</v>
      </c>
      <c r="H61" s="9">
        <v>46477.0</v>
      </c>
      <c r="J61" s="14">
        <v>1449.0</v>
      </c>
      <c r="K61" s="14">
        <v>1449.0</v>
      </c>
      <c r="L61" s="14">
        <v>1449.0</v>
      </c>
      <c r="M61" s="14">
        <v>0.0</v>
      </c>
      <c r="N61" s="14">
        <v>300.0</v>
      </c>
    </row>
    <row r="62" spans="1:74">
      <c r="A62" s="8" t="s">
        <v>146</v>
      </c>
      <c r="B62" s="8" t="s">
        <v>27</v>
      </c>
      <c r="C62" s="13">
        <v>569.0</v>
      </c>
      <c r="D62" s="8" t="s">
        <v>24</v>
      </c>
      <c r="E62" s="8" t="s">
        <v>147</v>
      </c>
      <c r="F62" s="9">
        <v>44838.0</v>
      </c>
      <c r="G62" s="9">
        <v>45934.0</v>
      </c>
      <c r="H62" s="9">
        <v>46142.0</v>
      </c>
      <c r="J62" s="14">
        <v>1455.0</v>
      </c>
      <c r="K62" s="14">
        <v>1656.43</v>
      </c>
      <c r="L62" s="14">
        <v>1552.0</v>
      </c>
      <c r="M62" s="14">
        <v>-1552.0</v>
      </c>
      <c r="N62" s="14">
        <v>99.0</v>
      </c>
    </row>
    <row r="63" spans="1:74">
      <c r="A63" s="8" t="s">
        <v>148</v>
      </c>
      <c r="B63" s="8" t="s">
        <v>149</v>
      </c>
      <c r="C63" s="13">
        <v>525.0</v>
      </c>
      <c r="D63" s="8" t="s">
        <v>24</v>
      </c>
      <c r="E63" s="8" t="s">
        <v>150</v>
      </c>
      <c r="F63" s="9">
        <v>45607.0</v>
      </c>
      <c r="G63" s="9">
        <v>45972.0</v>
      </c>
      <c r="H63" s="9">
        <v>46336.0</v>
      </c>
      <c r="J63" s="14">
        <v>1419.0</v>
      </c>
      <c r="K63" s="14">
        <v>1609.0</v>
      </c>
      <c r="L63" s="14">
        <v>1509.0</v>
      </c>
      <c r="M63" s="14">
        <v>0.0</v>
      </c>
      <c r="N63" s="14">
        <v>500.0</v>
      </c>
    </row>
    <row r="64" spans="1:74">
      <c r="A64" s="8" t="s">
        <v>151</v>
      </c>
      <c r="B64" s="8" t="s">
        <v>33</v>
      </c>
      <c r="C64" s="13">
        <v>566.0</v>
      </c>
      <c r="D64" s="8" t="s">
        <v>24</v>
      </c>
      <c r="E64" s="8" t="s">
        <v>152</v>
      </c>
      <c r="F64" s="9">
        <v>43049.0</v>
      </c>
      <c r="G64" s="9">
        <v>46001.0</v>
      </c>
      <c r="H64" s="9">
        <v>46387.0</v>
      </c>
      <c r="J64" s="14">
        <v>1450.0</v>
      </c>
      <c r="K64" s="14">
        <v>1837.12</v>
      </c>
      <c r="L64" s="14">
        <v>1733.0</v>
      </c>
      <c r="M64" s="14">
        <v>0.0</v>
      </c>
      <c r="N64" s="14">
        <v>300.0</v>
      </c>
    </row>
    <row r="65" spans="1:74">
      <c r="A65" s="8" t="s">
        <v>153</v>
      </c>
      <c r="B65" s="8" t="s">
        <v>39</v>
      </c>
      <c r="C65" s="13">
        <v>510.0</v>
      </c>
      <c r="D65" s="8" t="s">
        <v>24</v>
      </c>
      <c r="E65" s="8" t="s">
        <v>154</v>
      </c>
      <c r="F65" s="9">
        <v>45631.0</v>
      </c>
      <c r="G65" s="9">
        <v>46027.0</v>
      </c>
      <c r="H65" s="9">
        <v>46507.0</v>
      </c>
      <c r="J65" s="14">
        <v>1414.0</v>
      </c>
      <c r="K65" s="14">
        <v>1506.51</v>
      </c>
      <c r="L65" s="14">
        <v>1308.0</v>
      </c>
      <c r="M65" s="14">
        <v>0.0</v>
      </c>
      <c r="N65" s="14">
        <v>500.0</v>
      </c>
    </row>
    <row r="66" spans="1:74">
      <c r="A66" s="8" t="s">
        <v>155</v>
      </c>
      <c r="B66" s="8" t="s">
        <v>156</v>
      </c>
      <c r="C66" s="13">
        <v>801.0</v>
      </c>
      <c r="D66" s="8" t="s">
        <v>24</v>
      </c>
      <c r="E66" s="8" t="s">
        <v>157</v>
      </c>
      <c r="F66" s="9">
        <v>45528.0</v>
      </c>
      <c r="G66" s="9">
        <v>45924.0</v>
      </c>
      <c r="J66" s="14">
        <v>2193.0</v>
      </c>
      <c r="K66" s="14">
        <v>2652.0</v>
      </c>
      <c r="L66" s="14">
        <v>2377.0</v>
      </c>
      <c r="M66" s="14">
        <v>0.0</v>
      </c>
      <c r="N66" s="14">
        <v>500.0</v>
      </c>
    </row>
    <row r="67" spans="1:74">
      <c r="A67" s="8" t="s">
        <v>158</v>
      </c>
      <c r="B67" s="8" t="s">
        <v>159</v>
      </c>
      <c r="C67" s="13">
        <v>966.0</v>
      </c>
      <c r="D67" s="8" t="s">
        <v>24</v>
      </c>
      <c r="E67" s="8" t="s">
        <v>160</v>
      </c>
      <c r="F67" s="9">
        <v>45716.0</v>
      </c>
      <c r="G67" s="9">
        <v>46113.0</v>
      </c>
      <c r="H67" s="9">
        <v>46477.0</v>
      </c>
      <c r="J67" s="14">
        <v>2317.0</v>
      </c>
      <c r="K67" s="14">
        <v>2385.26</v>
      </c>
      <c r="L67" s="14">
        <v>2241.0</v>
      </c>
      <c r="M67" s="14">
        <v>0.0</v>
      </c>
      <c r="N67" s="14">
        <v>300.0</v>
      </c>
    </row>
    <row r="68" spans="1:74">
      <c r="A68" s="8" t="s">
        <v>161</v>
      </c>
      <c r="B68" s="8" t="s">
        <v>162</v>
      </c>
      <c r="C68" s="13">
        <v>788.0</v>
      </c>
      <c r="D68" s="8" t="s">
        <v>163</v>
      </c>
      <c r="E68" s="8" t="s">
        <v>77</v>
      </c>
      <c r="J68" s="14">
        <v>2218.0</v>
      </c>
      <c r="K68" s="14">
        <v>0.0</v>
      </c>
      <c r="L68" s="14">
        <v>0.0</v>
      </c>
      <c r="M68" s="14"/>
      <c r="N68" s="14">
        <v>0.0</v>
      </c>
    </row>
    <row r="69" spans="1:74">
      <c r="A69" s="8" t="s">
        <v>164</v>
      </c>
      <c r="B69" s="8" t="s">
        <v>54</v>
      </c>
      <c r="C69" s="13">
        <v>462.0</v>
      </c>
      <c r="D69" s="8" t="s">
        <v>24</v>
      </c>
      <c r="E69" s="8" t="s">
        <v>165</v>
      </c>
      <c r="F69" s="9">
        <v>45533.0</v>
      </c>
      <c r="G69" s="9">
        <v>45898.0</v>
      </c>
      <c r="H69" s="9">
        <v>46354.0</v>
      </c>
      <c r="J69" s="14">
        <v>1212.0</v>
      </c>
      <c r="K69" s="14">
        <v>1428.69</v>
      </c>
      <c r="L69" s="14">
        <v>1335.0</v>
      </c>
      <c r="M69" s="14">
        <v>-1411.27</v>
      </c>
      <c r="N69" s="14">
        <v>300.0</v>
      </c>
    </row>
    <row r="70" spans="1:74">
      <c r="A70" s="8" t="s">
        <v>166</v>
      </c>
      <c r="B70" s="8" t="s">
        <v>167</v>
      </c>
      <c r="C70" s="13">
        <v>775.0</v>
      </c>
      <c r="D70" s="8" t="s">
        <v>132</v>
      </c>
      <c r="E70" s="8" t="s">
        <v>77</v>
      </c>
      <c r="J70" s="14">
        <v>2142.0</v>
      </c>
      <c r="K70" s="14">
        <v>0.0</v>
      </c>
      <c r="L70" s="14">
        <v>0.0</v>
      </c>
      <c r="N70" s="14">
        <v>0.0</v>
      </c>
    </row>
    <row r="71" spans="1:74">
      <c r="B71" s="10" t="s">
        <v>168</v>
      </c>
      <c r="C71" s="11">
        <f>SUM(C8:C70)</f>
        <v>35504</v>
      </c>
      <c r="J71" s="12">
        <f>SUM(J8:J70)</f>
        <v>92689</v>
      </c>
      <c r="K71" s="12">
        <f>SUM(K8:K70)</f>
        <v>85302.59</v>
      </c>
      <c r="L71" s="12">
        <f>SUM(L8:L70)</f>
        <v>86379</v>
      </c>
      <c r="M71" s="12">
        <f>SUM(M8:M70)</f>
        <v>-16342.18</v>
      </c>
      <c r="N71" s="12">
        <f>SUM(N8:N70)</f>
        <v>20790</v>
      </c>
    </row>
    <row r="73" spans="1:74">
      <c r="A73" s="3" t="s">
        <v>169</v>
      </c>
      <c r="D73" s="3" t="s">
        <v>187</v>
      </c>
    </row>
    <row r="74" spans="1:74">
      <c r="A74" s="4" t="s">
        <v>170</v>
      </c>
      <c r="B74" s="5" t="s">
        <v>171</v>
      </c>
      <c r="C74" s="15" t="s">
        <v>172</v>
      </c>
      <c r="D74" s="4" t="s">
        <v>188</v>
      </c>
      <c r="E74" s="7" t="s">
        <v>189</v>
      </c>
      <c r="F74" s="4" t="s">
        <v>190</v>
      </c>
      <c r="P74" s="16" t="s">
        <v>173</v>
      </c>
      <c r="Q74" s="16" t="s">
        <v>174</v>
      </c>
      <c r="R74" s="17" t="s">
        <v>175</v>
      </c>
      <c r="S74" s="18" t="s">
        <v>176</v>
      </c>
      <c r="T74" s="18" t="s">
        <v>177</v>
      </c>
      <c r="U74" s="17" t="s">
        <v>178</v>
      </c>
      <c r="V74" s="17" t="s">
        <v>179</v>
      </c>
      <c r="W74" s="17" t="s">
        <v>180</v>
      </c>
      <c r="X74" s="17" t="s">
        <v>181</v>
      </c>
      <c r="Y74" s="17" t="s">
        <v>182</v>
      </c>
      <c r="Z74" s="17" t="s">
        <v>183</v>
      </c>
    </row>
    <row r="75" spans="1:74">
      <c r="A75" s="19" t="s">
        <v>24</v>
      </c>
      <c r="B75" s="13">
        <v>54.0</v>
      </c>
      <c r="C75" s="24">
        <v>0.85714285714286</v>
      </c>
      <c r="D75" s="25" t="s">
        <v>191</v>
      </c>
      <c r="P75" s="14">
        <v>77566.0</v>
      </c>
      <c r="Q75" s="14">
        <v>2765.0</v>
      </c>
      <c r="R75" s="13">
        <v>100017.0</v>
      </c>
      <c r="S75" s="8" t="s">
        <v>1</v>
      </c>
      <c r="U75" s="13">
        <v>58.0</v>
      </c>
      <c r="V75" s="13">
        <v>0.85714285714286</v>
      </c>
      <c r="W75" s="13">
        <v>77001.0</v>
      </c>
      <c r="X75" s="13">
        <v>77566.0</v>
      </c>
      <c r="Y75" s="13">
        <v>2765.0</v>
      </c>
      <c r="Z75" s="13">
        <v>76678.43</v>
      </c>
    </row>
    <row r="76" spans="1:74">
      <c r="A76" s="19" t="s">
        <v>127</v>
      </c>
      <c r="B76" s="13">
        <v>1.0</v>
      </c>
      <c r="C76" s="24">
        <v>0.015873015873016</v>
      </c>
      <c r="D76" s="8" t="s">
        <v>192</v>
      </c>
      <c r="E76" s="14">
        <v>2590.0</v>
      </c>
      <c r="F76" s="8" t="s">
        <v>193</v>
      </c>
      <c r="P76" s="14">
        <v>1445.0</v>
      </c>
      <c r="Q76" s="14">
        <v>0.0</v>
      </c>
      <c r="R76" s="13">
        <v>100017.0</v>
      </c>
      <c r="S76" s="8" t="s">
        <v>1</v>
      </c>
      <c r="U76" s="13">
        <v>58.0</v>
      </c>
      <c r="V76" s="13">
        <v>0.015873015873016</v>
      </c>
      <c r="W76" s="13">
        <v>1384.0</v>
      </c>
      <c r="X76" s="13">
        <v>1445.0</v>
      </c>
      <c r="Y76" s="13">
        <v>0.0</v>
      </c>
      <c r="Z76" s="13">
        <v>1543.51</v>
      </c>
    </row>
    <row r="77" spans="1:74">
      <c r="A77" s="19" t="s">
        <v>20</v>
      </c>
      <c r="B77" s="13">
        <v>3.0</v>
      </c>
      <c r="C77" s="24">
        <v>0.047619047619048</v>
      </c>
      <c r="D77" s="8" t="s">
        <v>194</v>
      </c>
      <c r="E77" s="14">
        <v>360.0</v>
      </c>
      <c r="F77" s="8" t="s">
        <v>193</v>
      </c>
      <c r="P77" s="14">
        <v>4418.0</v>
      </c>
      <c r="Q77" s="14">
        <v>185.0</v>
      </c>
      <c r="R77" s="13">
        <v>100017.0</v>
      </c>
      <c r="S77" s="8" t="s">
        <v>1</v>
      </c>
      <c r="U77" s="13">
        <v>58.0</v>
      </c>
      <c r="V77" s="13">
        <v>0.047619047619048</v>
      </c>
      <c r="W77" s="13">
        <v>4520.0</v>
      </c>
      <c r="X77" s="13">
        <v>4418.0</v>
      </c>
      <c r="Y77" s="13">
        <v>185.0</v>
      </c>
      <c r="Z77" s="13">
        <v>7080.65</v>
      </c>
    </row>
    <row r="78" spans="1:74">
      <c r="A78" s="10" t="s">
        <v>184</v>
      </c>
      <c r="B78" s="20">
        <f>SUM(B75:B77)</f>
        <v>58</v>
      </c>
      <c r="C78" s="21">
        <v>0.92063492063492</v>
      </c>
      <c r="D78" s="8" t="s">
        <v>195</v>
      </c>
      <c r="E78" s="14">
        <v>83429.0</v>
      </c>
      <c r="F78" s="8" t="s">
        <v>196</v>
      </c>
      <c r="P78" s="22">
        <f>SUM(P75:P77)</f>
        <v>83429</v>
      </c>
      <c r="Q78" s="22">
        <f>SUM(Q75:Q77)</f>
        <v>2950</v>
      </c>
      <c r="R78" s="13"/>
      <c r="S78" s="8"/>
      <c r="U78" s="13"/>
      <c r="V78" s="13"/>
      <c r="W78" s="13"/>
      <c r="X78" s="13"/>
      <c r="Y78" s="13"/>
      <c r="Z78" s="13"/>
    </row>
    <row r="79" spans="1:74">
      <c r="A79" s="19" t="s">
        <v>76</v>
      </c>
      <c r="B79" s="13">
        <v>2.0</v>
      </c>
      <c r="C79" s="24">
        <v>0.031746031746032</v>
      </c>
      <c r="D79" s="10" t="s">
        <v>197</v>
      </c>
      <c r="E79" s="22">
        <f>SUM(E76:E78)</f>
        <v>86379</v>
      </c>
      <c r="P79" s="14">
        <v>0.0</v>
      </c>
      <c r="Q79" s="14">
        <v>0.0</v>
      </c>
      <c r="R79" s="13">
        <v>100017.0</v>
      </c>
      <c r="S79" s="8" t="s">
        <v>1</v>
      </c>
      <c r="U79" s="13">
        <v>58.0</v>
      </c>
      <c r="V79" s="13">
        <v>0.031746031746032</v>
      </c>
      <c r="W79" s="13">
        <v>3808.0</v>
      </c>
      <c r="X79" s="13">
        <v>0.0</v>
      </c>
      <c r="Y79" s="13">
        <v>0.0</v>
      </c>
      <c r="Z79" s="13">
        <v>0.0</v>
      </c>
    </row>
    <row r="80" spans="1:74">
      <c r="A80" s="19" t="s">
        <v>163</v>
      </c>
      <c r="B80" s="13">
        <v>1.0</v>
      </c>
      <c r="C80" s="24">
        <v>0.015873015873016</v>
      </c>
      <c r="D80" s="10" t="s">
        <v>198</v>
      </c>
      <c r="E80" s="12">
        <f>SUM(E76:E78)</f>
        <v>86379</v>
      </c>
      <c r="P80" s="14">
        <v>0.0</v>
      </c>
      <c r="Q80" s="14">
        <v>0.0</v>
      </c>
      <c r="R80" s="13">
        <v>100017.0</v>
      </c>
      <c r="S80" s="8" t="s">
        <v>1</v>
      </c>
      <c r="U80" s="13">
        <v>58.0</v>
      </c>
      <c r="V80" s="13">
        <v>0.015873015873016</v>
      </c>
      <c r="W80" s="13">
        <v>2218.0</v>
      </c>
      <c r="X80" s="13">
        <v>0.0</v>
      </c>
      <c r="Y80" s="13">
        <v>0.0</v>
      </c>
      <c r="Z80" s="13">
        <v>0.0</v>
      </c>
    </row>
    <row r="81" spans="1:74">
      <c r="A81" s="19" t="s">
        <v>132</v>
      </c>
      <c r="B81" s="13">
        <v>2.0</v>
      </c>
      <c r="C81" s="24">
        <v>0.031746031746032</v>
      </c>
      <c r="P81" s="14">
        <v>0.0</v>
      </c>
      <c r="Q81" s="14">
        <v>0.0</v>
      </c>
      <c r="R81" s="13">
        <v>100017.0</v>
      </c>
      <c r="S81" s="8" t="s">
        <v>1</v>
      </c>
      <c r="U81" s="13">
        <v>58.0</v>
      </c>
      <c r="V81" s="13">
        <v>0.031746031746032</v>
      </c>
      <c r="W81" s="13">
        <v>3758.0</v>
      </c>
      <c r="X81" s="13">
        <v>0.0</v>
      </c>
      <c r="Y81" s="13">
        <v>0.0</v>
      </c>
      <c r="Z81" s="13">
        <v>0.0</v>
      </c>
    </row>
    <row r="82" spans="1:74">
      <c r="A82" s="10" t="s">
        <v>185</v>
      </c>
      <c r="B82" s="20">
        <f>SUM(B79:B81)</f>
        <v>5</v>
      </c>
      <c r="C82" s="21">
        <v>0.079365079365079</v>
      </c>
      <c r="P82" s="22">
        <f>SUM(P79:P81)</f>
        <v>0</v>
      </c>
      <c r="Q82" s="22">
        <f>SUM(Q79:Q81)</f>
        <v>0</v>
      </c>
    </row>
    <row r="83" spans="1:74">
      <c r="A83" s="10" t="s">
        <v>186</v>
      </c>
      <c r="B83" s="11">
        <f>SUM(B75:B77)+SUM(B79:B81)</f>
        <v>63</v>
      </c>
      <c r="C83" s="23">
        <v>1.0</v>
      </c>
      <c r="P83" s="12">
        <f>SUM(P75:P77)+SUM(P79:P81)</f>
        <v>83429</v>
      </c>
      <c r="Q83" s="12">
        <f>SUM(Q75:Q77)+SUM(Q79:Q81)</f>
        <v>2950</v>
      </c>
    </row>
    <row r="85" spans="1:74">
      <c r="A85" s="3" t="s">
        <v>199</v>
      </c>
    </row>
    <row r="86" spans="1:74">
      <c r="A86" s="4" t="s">
        <v>4</v>
      </c>
      <c r="B86" s="4" t="s">
        <v>5</v>
      </c>
      <c r="C86" s="5" t="s">
        <v>6</v>
      </c>
      <c r="D86" s="4" t="s">
        <v>7</v>
      </c>
      <c r="E86" s="4" t="s">
        <v>8</v>
      </c>
      <c r="F86" s="6" t="s">
        <v>9</v>
      </c>
      <c r="G86" s="6" t="s">
        <v>10</v>
      </c>
      <c r="H86" s="6" t="s">
        <v>11</v>
      </c>
      <c r="I86" s="7" t="s">
        <v>13</v>
      </c>
      <c r="J86" s="7" t="s">
        <v>14</v>
      </c>
      <c r="K86" s="7" t="s">
        <v>15</v>
      </c>
      <c r="L86" s="7" t="s">
        <v>16</v>
      </c>
      <c r="M86" s="7" t="s">
        <v>17</v>
      </c>
    </row>
    <row r="87" spans="1:74">
      <c r="A87" s="8" t="s">
        <v>200</v>
      </c>
    </row>
  </sheetData>
  <mergeCells>
    <mergeCell ref="A2:N2"/>
    <mergeCell ref="A3:N3"/>
    <mergeCell ref="A4:N4"/>
    <mergeCell ref="A6:N6"/>
    <mergeCell ref="A73:C73"/>
    <mergeCell ref="D73:F73"/>
    <mergeCell ref="D75:F75"/>
    <mergeCell ref="A85:M85"/>
  </mergeCells>
  <printOptions gridLines="false" gridLinesSet="true" horizontalCentered="true"/>
  <pageMargins left="0.5" right="0.5" top="0.5" bottom="0.5" header="0.25" footer="0.25"/>
  <pageSetup paperSize="1" orientation="portrait" scale="100" fitToHeight="0" fitToWidth="1" pageOrder="downThenOver"/>
  <headerFooter differentOddEven="false" differentFirst="false" scaleWithDoc="true" alignWithMargins="true">
    <oddHeader>&amp;L Rent Roll</oddHeader>
    <oddFooter>&amp;L Page &amp;P of &amp;N &amp;R &amp;I Rent Roll 4.2 generated04/30/2026 at 10:37pm PDT&amp;I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B25"/>
  <sheetViews>
    <sheetView tabSelected="0" workbookViewId="0" showGridLines="true" showRowColHeaders="1">
      <selection activeCell="B25" sqref="B25"/>
    </sheetView>
  </sheetViews>
  <sheetFormatPr defaultRowHeight="14.4" outlineLevelRow="0" outlineLevelCol="0"/>
  <cols>
    <col min="1" max="1" width="20" customWidth="true" style="0"/>
    <col min="2" max="2" width="80" customWidth="true" style="0"/>
  </cols>
  <sheetData>
    <row r="1" spans="1:2">
      <c r="A1" s="26" t="s">
        <v>0</v>
      </c>
    </row>
    <row r="2" spans="1:2">
      <c r="A2" s="26" t="s">
        <v>201</v>
      </c>
    </row>
    <row r="4" spans="1:2">
      <c r="A4" s="27" t="s">
        <v>202</v>
      </c>
      <c r="B4" s="28" t="s">
        <v>0</v>
      </c>
    </row>
    <row r="5" spans="1:2">
      <c r="A5" s="27" t="s">
        <v>203</v>
      </c>
      <c r="B5" s="28">
        <v>4.2</v>
      </c>
    </row>
    <row r="6" spans="1:2">
      <c r="A6" s="27" t="s">
        <v>204</v>
      </c>
      <c r="B6" s="28" t="s">
        <v>1</v>
      </c>
    </row>
    <row r="7" spans="1:2">
      <c r="A7" s="27" t="s">
        <v>205</v>
      </c>
      <c r="B7" s="28" t="s">
        <v>206</v>
      </c>
    </row>
    <row r="8" spans="1:2">
      <c r="A8" s="27" t="s">
        <v>207</v>
      </c>
      <c r="B8" s="28" t="s">
        <v>208</v>
      </c>
    </row>
    <row r="9" spans="1:2">
      <c r="A9" s="27" t="s">
        <v>209</v>
      </c>
      <c r="B9" s="28" t="s">
        <v>210</v>
      </c>
    </row>
    <row r="10" spans="1:2">
      <c r="A10" s="27" t="s">
        <v>211</v>
      </c>
      <c r="B10" s="28" t="s">
        <v>212</v>
      </c>
    </row>
    <row r="11" spans="1:2">
      <c r="A11" s="27" t="s">
        <v>213</v>
      </c>
      <c r="B11" s="28" t="s">
        <v>214</v>
      </c>
    </row>
    <row r="12" spans="1:2">
      <c r="A12" s="27" t="s">
        <v>7</v>
      </c>
      <c r="B12" s="28" t="s">
        <v>215</v>
      </c>
    </row>
    <row r="13" spans="1:2">
      <c r="A13" s="27" t="s">
        <v>216</v>
      </c>
      <c r="B13" s="28" t="s">
        <v>214</v>
      </c>
    </row>
    <row r="14" spans="1:2">
      <c r="A14" s="27" t="s">
        <v>217</v>
      </c>
      <c r="B14" s="28" t="s">
        <v>218</v>
      </c>
    </row>
    <row r="15" spans="1:2">
      <c r="A15" s="27" t="s">
        <v>219</v>
      </c>
      <c r="B15" s="28" t="s">
        <v>220</v>
      </c>
    </row>
    <row r="16" spans="1:2">
      <c r="A16" s="27" t="s">
        <v>221</v>
      </c>
      <c r="B16" s="28" t="s">
        <v>222</v>
      </c>
    </row>
    <row r="17" spans="1:2">
      <c r="A17" s="27" t="s">
        <v>223</v>
      </c>
      <c r="B17" s="28" t="s">
        <v>214</v>
      </c>
    </row>
    <row r="18" spans="1:2">
      <c r="A18" s="27" t="s">
        <v>224</v>
      </c>
      <c r="B18" s="28" t="s">
        <v>225</v>
      </c>
    </row>
    <row r="19" spans="1:2">
      <c r="A19" s="27" t="s">
        <v>226</v>
      </c>
      <c r="B19" s="28" t="s">
        <v>218</v>
      </c>
    </row>
    <row r="20" spans="1:2">
      <c r="A20" s="27" t="s">
        <v>227</v>
      </c>
      <c r="B20" s="28" t="s">
        <v>214</v>
      </c>
    </row>
    <row r="21" spans="1:2">
      <c r="A21" s="27" t="s">
        <v>228</v>
      </c>
      <c r="B21" s="28" t="s">
        <v>229</v>
      </c>
    </row>
    <row r="22" spans="1:2">
      <c r="A22" s="27" t="s">
        <v>230</v>
      </c>
      <c r="B22" s="28" t="s">
        <v>231</v>
      </c>
    </row>
    <row r="24" spans="1:2">
      <c r="A24" s="27" t="s">
        <v>232</v>
      </c>
      <c r="B24" s="28" t="s">
        <v>233</v>
      </c>
    </row>
    <row r="25" spans="1:2">
      <c r="A25" s="27" t="s">
        <v>234</v>
      </c>
      <c r="B25" s="28" t="s">
        <v>233</v>
      </c>
    </row>
  </sheetData>
  <mergeCells>
    <mergeCell ref="A1:B1"/>
    <mergeCell ref="A2:B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The Lower Burnside Lofts</vt:lpstr>
      <vt:lpstr>Report Parameters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2026-04-30T23:39:03-06:00</dcterms:created>
  <dcterms:modified xsi:type="dcterms:W3CDTF">2026-04-30T23:39:03-06:00</dcterms:modified>
  <dc:title>Untitled Spreadsheet</dc:title>
  <dc:description/>
  <dc:subject/>
  <cp:keywords/>
  <cp:category/>
</cp:coreProperties>
</file>